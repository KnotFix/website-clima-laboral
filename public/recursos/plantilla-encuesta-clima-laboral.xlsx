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E207ACD4-AB46-4FD4-967E-C14A2D1E1FB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ómo usarla" sheetId="1" r:id="rId1"/>
    <sheet name="Encuesta" sheetId="2" r:id="rId2"/>
    <sheet name="Respuestas" sheetId="3" r:id="rId3"/>
    <sheet name="Resultados" sheetId="4" r:id="rId4"/>
  </sheets>
  <definedNames>
    <definedName name="_xlnm.Print_Area" localSheetId="1">Encuesta!$A$1:$F$61</definedName>
    <definedName name="_xlnm.Print_Area" localSheetId="3">Resultados!$A$1:$D$60</definedName>
    <definedName name="_xlnm.Print_Titles" localSheetId="1">Encuesta!$5:$5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4" l="1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27" i="4"/>
  <c r="C27" i="4"/>
  <c r="D26" i="4"/>
  <c r="C26" i="4"/>
  <c r="D25" i="4"/>
  <c r="C25" i="4"/>
  <c r="D24" i="4"/>
  <c r="C24" i="4"/>
  <c r="D23" i="4"/>
  <c r="C23" i="4"/>
  <c r="D22" i="4"/>
  <c r="C22" i="4"/>
  <c r="C16" i="4"/>
  <c r="C15" i="4"/>
  <c r="C14" i="4"/>
  <c r="C17" i="4" s="1"/>
  <c r="C10" i="4"/>
  <c r="C6" i="4"/>
  <c r="C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Censuma</author>
  </authors>
  <commentList>
    <comment ref="C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Mi jefatura directa me explica con claridad qué espera de mi trabajo.</t>
        </r>
      </text>
    </comment>
    <comment ref="D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Mi jefatura me da comentarios que me sirven para mejorar.</t>
        </r>
      </text>
    </comment>
    <comment ref="E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La dirección explica las razones detrás de sus decisiones importantes.</t>
        </r>
      </text>
    </comment>
    <comment ref="F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Mi jefatura reparte las tareas de forma justa entre las personas del equipo.</t>
        </r>
      </text>
    </comment>
    <comment ref="G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Si cometo un error, puedo contárselo a mi jefatura sin miedo a represalias.</t>
        </r>
      </text>
    </comment>
    <comment ref="H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Cuando algo va a cambiar en mi área, me lo explican antes de que pase.</t>
        </r>
      </text>
    </comment>
    <comment ref="I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La información que necesito para trabajar está disponible cuando la busco.</t>
        </r>
      </text>
    </comment>
    <comment ref="J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Cuando propongo una idea de mejora, se toma en cuenta.</t>
        </r>
      </text>
    </comment>
    <comment ref="K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Entiendo hacia dónde va la organización y cuáles son sus prioridades.</t>
        </r>
      </text>
    </comment>
    <comment ref="L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Las distintas áreas comparten entre sí la información necesaria.</t>
        </r>
      </text>
    </comment>
    <comment ref="M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Las personas de mi equipo comparten lo que saben en vez de guardárselo.</t>
        </r>
      </text>
    </comment>
    <comment ref="N2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Las personas de mi equipo cumplen lo que se comprometen a hacer.</t>
        </r>
      </text>
    </comment>
    <comment ref="O2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En mi equipo se puede discutir una idea sin que se vuelva algo personal.</t>
        </r>
      </text>
    </comment>
    <comment ref="P2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En mi equipo me incluyen en las conversaciones que tienen que ver con mi trabajo.</t>
        </r>
      </text>
    </comment>
    <comment ref="Q2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Coordinar tareas con otras áreas es sencillo.</t>
        </r>
      </text>
    </comment>
    <comment ref="R2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Rara vez se me atrasa el trabajo por falta de materiales o por fallas en lo que uso.</t>
        </r>
      </text>
    </comment>
    <comment ref="S2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La mayoría de los días puedo terminar mis tareas dentro de mi horario.</t>
        </r>
      </text>
    </comment>
    <comment ref="T2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Puedo hacer mi trabajo sin poner en riesgo mi salud.</t>
        </r>
      </text>
    </comment>
    <comment ref="U2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Mi horario me deja tiempo suficiente para mi familia y mis asuntos personales.</t>
        </r>
      </text>
    </comment>
    <comment ref="V2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Los horarios y turnos se organizan de forma justa.</t>
        </r>
      </text>
    </comment>
    <comment ref="W2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Cuando hago un buen trabajo, alguien lo nota y me lo dice.</t>
        </r>
      </text>
    </comment>
    <comment ref="X2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Entiendo cómo se decide lo que me pagan.</t>
        </r>
      </text>
    </comment>
    <comment ref="Y2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En el último año aprendí algo que me hace mejor en lo que hago.</t>
        </r>
      </text>
    </comment>
    <comment ref="Z2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Sé qué necesito hacer para crecer dentro de la organización.</t>
        </r>
      </text>
    </comment>
    <comment ref="AA2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Los ascensos y las oportunidades se asignan con criterios claros.</t>
        </r>
      </text>
    </comment>
    <comment ref="AB2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Hablo bien de esta organización cuando estoy fuera del trabajo.</t>
        </r>
      </text>
    </comment>
    <comment ref="AC2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Mi trabajo tiene sentido para mí.</t>
        </r>
      </text>
    </comment>
    <comment ref="AD2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Si hoy me ofrecieran un puesto parecido en otro lugar, me quedaría aquí.</t>
        </r>
      </text>
    </comment>
    <comment ref="AE2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Hago más de lo que me piden cuando el equipo lo necesita.</t>
        </r>
      </text>
    </comment>
    <comment ref="AF2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Si tuviera que elegir de nuevo, volvería a aceptar este trabajo.</t>
        </r>
      </text>
    </comment>
    <comment ref="AG2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Si alguien te pidiera tu opinión sobre este lugar para trabajar, del 0 al 10, ¿cuánto lo recomendarías?</t>
        </r>
      </text>
    </comment>
    <comment ref="AH2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Contanos algo que esta organización hace bien y que no debería cambiar.</t>
        </r>
      </text>
    </comment>
    <comment ref="AI2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¿Qué cambio concreto haría más fácil tu trabajo?</t>
        </r>
      </text>
    </comment>
  </commentList>
</comments>
</file>

<file path=xl/sharedStrings.xml><?xml version="1.0" encoding="utf-8"?>
<sst xmlns="http://schemas.openxmlformats.org/spreadsheetml/2006/main" count="270" uniqueCount="159">
  <si>
    <t>Plantilla de encuesta de clima laboral</t>
  </si>
  <si>
    <t>Una encuesta de 30 preguntas lista para imprimir, cargar y calcular. Gratis, de Censuma.</t>
  </si>
  <si>
    <t>Cómo usarla, en 5 pasos</t>
  </si>
  <si>
    <t>Revisá las preguntas</t>
  </si>
  <si>
    <t>Leé la hoja Encuesta. Si una pregunta no aplica a tu organización, cambiale el texto, pero mantené una idea por pregunta.</t>
  </si>
  <si>
    <t>Imprimila o pasala a un formulario</t>
  </si>
  <si>
    <t>La hoja Encuesta está lista para imprimir. Si preferís que se responda en línea, copiá las preguntas a un formulario anónimo.</t>
  </si>
  <si>
    <t>Contá para qué es y que es anónima</t>
  </si>
  <si>
    <t>Antes de repartirla, explicá por qué la hacen, quién va a ver los resultados y que nadie va a saber qué respondió cada persona.</t>
  </si>
  <si>
    <t>Cargá las respuestas</t>
  </si>
  <si>
    <t>En la hoja Respuestas va una fila por persona. Borrá antes las filas grises de ejemplo con la tecla Suprimir, sin eliminar las filas.</t>
  </si>
  <si>
    <t>Leé los resultados y compartilos</t>
  </si>
  <si>
    <t>La hoja Resultados se calcula sola. Escribí cuántas personas invitaste para ver la participación, y contale al equipo lo que salió y qué van a hacer.</t>
  </si>
  <si>
    <t>La escala</t>
  </si>
  <si>
    <t>Nada</t>
  </si>
  <si>
    <t>Algo</t>
  </si>
  <si>
    <t>Mucho</t>
  </si>
  <si>
    <t>Completamente</t>
  </si>
  <si>
    <t>Una respuesta es favorable cuando vale 3 (Mucho) o 4 (Completamente).</t>
  </si>
  <si>
    <t>Son cuatro opciones y no hay punto medio: cada persona se inclina hacia un lado.</t>
  </si>
  <si>
    <t>Las 6 dimensiones</t>
  </si>
  <si>
    <t>Liderazgo  (P1 a P5)</t>
  </si>
  <si>
    <t>Comunicación  (P6 a P10)</t>
  </si>
  <si>
    <t>Trabajo en equipo  (P11 a P15)</t>
  </si>
  <si>
    <t>Condiciones de trabajo  (P16 a P20)</t>
  </si>
  <si>
    <t>Reconocimiento y desarrollo  (P21 a P25)</t>
  </si>
  <si>
    <t>Compromiso y satisfacción  (P26 a P30)</t>
  </si>
  <si>
    <t>Cinco preguntas por dimensión, más una de recomendación (eNPS) y dos abiertas.</t>
  </si>
  <si>
    <t>Cómo cuidar el anonimato</t>
  </si>
  <si>
    <t>•</t>
  </si>
  <si>
    <t>No pidas nombre, correo ni número de empleado en la encuesta.</t>
  </si>
  <si>
    <t>Usá la columna Área solo con grupos grandes. Si un área tiene pocas personas, juntala con otra.</t>
  </si>
  <si>
    <t>Nunca muestres resultados de un grupo tan chico que se pueda adivinar quién respondió.</t>
  </si>
  <si>
    <t>Que las respuestas no las tabule la jefatura del área que se está evaluando.</t>
  </si>
  <si>
    <t>Al compartir los comentarios abiertos, resumilos: un texto citado tal cual puede delatar a quien lo escribió.</t>
  </si>
  <si>
    <t>Si la encuesta fue en papel, destruí las hojas cuando termines de cargarlas.</t>
  </si>
  <si>
    <t>Lo que esta plantilla no hace</t>
  </si>
  <si>
    <t>No muestra resultados por área: un promedio general puede tapar al equipo que está pasándola mal.</t>
  </si>
  <si>
    <t>No cruza filtros, por ejemplo un área con una antigüedad o un turno.</t>
  </si>
  <si>
    <t>No compara una medición contra la anterior para ver si las cosas mejoraron.</t>
  </si>
  <si>
    <t>No protege el anonimato sola: si alguien filtra un grupo chico, los datos quedan expuestos.</t>
  </si>
  <si>
    <t>No genera reportes listos para presentar.</t>
  </si>
  <si>
    <t>Todo eso lo hace Censuma: censuma.com</t>
  </si>
  <si>
    <t>Esta encuesta es anónima. No escribas tu nombre. Marcá con una X la opción que mejor describe tu experiencia en cada frase.</t>
  </si>
  <si>
    <t>Área (opcional):</t>
  </si>
  <si>
    <t>N.º</t>
  </si>
  <si>
    <t>Pregunta</t>
  </si>
  <si>
    <t>1
Nada</t>
  </si>
  <si>
    <t>2
Algo</t>
  </si>
  <si>
    <t>3
Mucho</t>
  </si>
  <si>
    <t>4
Completamente</t>
  </si>
  <si>
    <t>Liderazgo</t>
  </si>
  <si>
    <t>Mi jefatura directa me explica con claridad qué espera de mi trabajo.</t>
  </si>
  <si>
    <t>Mi jefatura me da comentarios que me sirven para mejorar.</t>
  </si>
  <si>
    <t>La dirección explica las razones detrás de sus decisiones importantes.</t>
  </si>
  <si>
    <t>Mi jefatura reparte las tareas de forma justa entre las personas del equipo.</t>
  </si>
  <si>
    <t>Si cometo un error, puedo contárselo a mi jefatura sin miedo a represalias.</t>
  </si>
  <si>
    <t>Comunicación</t>
  </si>
  <si>
    <t>Cuando algo va a cambiar en mi área, me lo explican antes de que pase.</t>
  </si>
  <si>
    <t>La información que necesito para trabajar está disponible cuando la busco.</t>
  </si>
  <si>
    <t>Cuando propongo una idea de mejora, se toma en cuenta.</t>
  </si>
  <si>
    <t>Entiendo hacia dónde va la organización y cuáles son sus prioridades.</t>
  </si>
  <si>
    <t>Las distintas áreas comparten entre sí la información necesaria.</t>
  </si>
  <si>
    <t>Trabajo en equipo</t>
  </si>
  <si>
    <t>Las personas de mi equipo comparten lo que saben en vez de guardárselo.</t>
  </si>
  <si>
    <t>Las personas de mi equipo cumplen lo que se comprometen a hacer.</t>
  </si>
  <si>
    <t>En mi equipo se puede discutir una idea sin que se vuelva algo personal.</t>
  </si>
  <si>
    <t>En mi equipo me incluyen en las conversaciones que tienen que ver con mi trabajo.</t>
  </si>
  <si>
    <t>Coordinar tareas con otras áreas es sencillo.</t>
  </si>
  <si>
    <t>Condiciones de trabajo</t>
  </si>
  <si>
    <t>Rara vez se me atrasa el trabajo por falta de materiales o por fallas en lo que uso.</t>
  </si>
  <si>
    <t>La mayoría de los días puedo terminar mis tareas dentro de mi horario.</t>
  </si>
  <si>
    <t>Puedo hacer mi trabajo sin poner en riesgo mi salud.</t>
  </si>
  <si>
    <t>Mi horario me deja tiempo suficiente para mi familia y mis asuntos personales.</t>
  </si>
  <si>
    <t>Los horarios y turnos se organizan de forma justa.</t>
  </si>
  <si>
    <t>Reconocimiento y desarrollo</t>
  </si>
  <si>
    <t>Cuando hago un buen trabajo, alguien lo nota y me lo dice.</t>
  </si>
  <si>
    <t>Entiendo cómo se decide lo que me pagan.</t>
  </si>
  <si>
    <t>En el último año aprendí algo que me hace mejor en lo que hago.</t>
  </si>
  <si>
    <t>Sé qué necesito hacer para crecer dentro de la organización.</t>
  </si>
  <si>
    <t>Los ascensos y las oportunidades se asignan con criterios claros.</t>
  </si>
  <si>
    <t>Compromiso y satisfacción</t>
  </si>
  <si>
    <t>Hablo bien de esta organización cuando estoy fuera del trabajo.</t>
  </si>
  <si>
    <t>Mi trabajo tiene sentido para mí.</t>
  </si>
  <si>
    <t>Si hoy me ofrecieran un puesto parecido en otro lugar, me quedaría aquí.</t>
  </si>
  <si>
    <t>Hago más de lo que me piden cuando el equipo lo necesita.</t>
  </si>
  <si>
    <t>Si tuviera que elegir de nuevo, volvería a aceptar este trabajo.</t>
  </si>
  <si>
    <t>Recomendación</t>
  </si>
  <si>
    <t>Si alguien te pidiera tu opinión sobre este lugar para trabajar, del 0 al 10, ¿cuánto lo recomendarías?</t>
  </si>
  <si>
    <t>0     1     2     3     4     5     6     7     8     9     10</t>
  </si>
  <si>
    <t>0 = no se lo recomendaría          10 = se lo recomendaría sin dudar</t>
  </si>
  <si>
    <t>Preguntas abiertas</t>
  </si>
  <si>
    <t>Contanos algo que esta organización hace bien y que no debería cambiar.</t>
  </si>
  <si>
    <t>¿Qué cambio concreto haría más fácil tu trabajo?</t>
  </si>
  <si>
    <t>Gracias por responder.</t>
  </si>
  <si>
    <t>Área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</si>
  <si>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</si>
  <si>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</si>
  <si>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</si>
  <si>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</si>
  <si>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</si>
  <si>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</si>
  <si>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</si>
  <si>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</si>
  <si>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</si>
  <si>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</si>
  <si>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</si>
  <si>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</si>
  <si>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</si>
  <si>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</si>
  <si>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</si>
  <si>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</si>
  <si>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</si>
  <si>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</si>
  <si>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</si>
  <si>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</si>
  <si>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</si>
  <si>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</si>
  <si>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</si>
  <si>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</si>
  <si>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</si>
  <si>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</si>
  <si>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</si>
  <si>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</si>
  <si>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</si>
  <si>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</si>
  <si>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eNPS</t>
  </si>
  <si>
    <t>Abierta 1</t>
  </si>
  <si>
    <t>Abierta 2</t>
  </si>
  <si>
    <t>Ejemplo: Ventas</t>
  </si>
  <si>
    <t>El buen ambiente con mis compañeros.</t>
  </si>
  <si>
    <t>Que nos avisen antes de los cambios de turno.</t>
  </si>
  <si>
    <t>Ejemplo: Operaciones</t>
  </si>
  <si>
    <t>Ejemplo: Administración</t>
  </si>
  <si>
    <t>Ejemplo: Atención al cliente</t>
  </si>
  <si>
    <t>La flexibilidad de horario.</t>
  </si>
  <si>
    <t>Más capacitación para el puesto.</t>
  </si>
  <si>
    <t>Que mi trabajo ayuda a otras personas.</t>
  </si>
  <si>
    <t>Que se reconozca más el esfuerzo.</t>
  </si>
  <si>
    <t>La estabilidad.</t>
  </si>
  <si>
    <t>Mejores herramientas para trabajar.</t>
  </si>
  <si>
    <t>Resultados</t>
  </si>
  <si>
    <t>Se calculan solos a partir de la hoja Respuestas. No hace falta tocar nada salvo las personas invitadas.</t>
  </si>
  <si>
    <t>Participación</t>
  </si>
  <si>
    <t>Personas invitadas (escribilo vos)</t>
  </si>
  <si>
    <t>Respuestas recibidas</t>
  </si>
  <si>
    <t>Resultado general</t>
  </si>
  <si>
    <t>% favorable general</t>
  </si>
  <si>
    <t>Porcentaje de respuestas con 3 o 4, sobre todas las respuestas de las 30 preguntas.</t>
  </si>
  <si>
    <t>Promotores (9 y 10)</t>
  </si>
  <si>
    <t>Pasivos (7 y 8)</t>
  </si>
  <si>
    <t>Detractores (0 a 6)</t>
  </si>
  <si>
    <t>eNPS (% promotores menos % detractores)</t>
  </si>
  <si>
    <t>Va de -100 a 100. Positivo quiere decir que hay más promotores que detractores.</t>
  </si>
  <si>
    <t>Por dimensión</t>
  </si>
  <si>
    <t>Dimensión</t>
  </si>
  <si>
    <t>% favorable</t>
  </si>
  <si>
    <t>Respuestas</t>
  </si>
  <si>
    <t>Por pregunta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</si>
</sst>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;\-0;0"/>
  </numFmts>
  <fonts count="13" x14ac:knownFonts="1">
    <font>
      <sz val="11"/>
      <color theme="1"/>
      <name val="Calibri"/>
      <family val="2"/>
      <scheme val="minor"/>
    </font>
    <font>
      <b/>
      <sz val="18"/>
      <color rgb="FF18181B"/>
      <name val="Calibri"/>
    </font>
    <font>
      <sz val="11"/>
      <color rgb="FF6B6B76"/>
      <name val="Calibri"/>
    </font>
    <font>
      <b/>
      <sz val="13"/>
      <color rgb="FF5B21B6"/>
      <name val="Calibri"/>
    </font>
    <font>
      <b/>
      <sz val="11"/>
      <color rgb="FF18181B"/>
      <name val="Calibri"/>
    </font>
    <font>
      <sz val="11"/>
      <color rgb="FF18181B"/>
      <name val="Calibri"/>
    </font>
    <font>
      <i/>
      <sz val="10"/>
      <color rgb="FF6B6B76"/>
      <name val="Calibri"/>
    </font>
    <font>
      <b/>
      <u/>
      <sz val="12"/>
      <color rgb="FF5B21B6"/>
      <name val="Calibri"/>
    </font>
    <font>
      <b/>
      <sz val="11"/>
      <color rgb="FFFFFFFF"/>
      <name val="Calibri"/>
    </font>
    <font>
      <b/>
      <sz val="14"/>
      <color rgb="FF18181B"/>
      <name val="Calibri"/>
    </font>
    <font>
      <b/>
      <sz val="9"/>
      <color rgb="FFFFFFFF"/>
      <name val="Calibri"/>
    </font>
    <font>
      <sz val="10"/>
      <color rgb="FF6B6B76"/>
      <name val="Calibri"/>
    </font>
    <font>
      <b/>
      <sz val="13"/>
      <color rgb="FF18181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4"/>
      </patternFill>
    </fill>
    <fill>
      <patternFill patternType="solid">
        <fgColor rgb="FF18181B"/>
      </patternFill>
    </fill>
    <fill>
      <patternFill patternType="solid">
        <fgColor rgb="FF3A3A42"/>
      </patternFill>
    </fill>
    <fill>
      <patternFill patternType="solid">
        <fgColor rgb="FFFFF7D6"/>
      </patternFill>
    </fill>
  </fills>
  <borders count="3">
    <border>
      <left/>
      <right/>
      <top/>
      <bottom/>
      <diagonal/>
    </border>
    <border>
      <left style="thin">
        <color rgb="FFC9C9D1"/>
      </left>
      <right style="thin">
        <color rgb="FFC9C9D1"/>
      </right>
      <top style="thin">
        <color rgb="FFC9C9D1"/>
      </top>
      <bottom style="thin">
        <color rgb="FFC9C9D1"/>
      </bottom>
      <diagonal/>
    </border>
    <border>
      <left/>
      <right/>
      <top/>
      <bottom style="thin">
        <color rgb="FFC9C9D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top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6" fillId="0" borderId="0" xfId="0" applyFont="1" applyAlignment="1">
      <alignment vertical="top" wrapText="1"/>
    </xf>
    <xf numFmtId="0" fontId="5" fillId="0" borderId="0" xfId="0" applyFont="1"/>
    <xf numFmtId="0" fontId="0" fillId="0" borderId="0" xfId="0" applyAlignment="1">
      <alignment horizontal="center" vertical="top"/>
    </xf>
    <xf numFmtId="0" fontId="7" fillId="0" borderId="0" xfId="0" applyFont="1"/>
    <xf numFmtId="0" fontId="0" fillId="0" borderId="2" xfId="0" applyBorder="1"/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/>
    <xf numFmtId="0" fontId="0" fillId="3" borderId="0" xfId="0" applyFill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4" fillId="5" borderId="1" xfId="0" applyNumberFormat="1" applyFont="1" applyFill="1" applyBorder="1" applyAlignment="1">
      <alignment horizontal="right"/>
    </xf>
    <xf numFmtId="1" fontId="4" fillId="0" borderId="0" xfId="0" applyNumberFormat="1" applyFont="1" applyAlignment="1">
      <alignment horizontal="right"/>
    </xf>
    <xf numFmtId="9" fontId="12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/>
    </xf>
    <xf numFmtId="0" fontId="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  <xf numFmtId="0" fontId="0" fillId="0" borderId="2" xfId="0" applyBorder="1" applyAlignment="1">
      <alignment horizontal="center"/>
    </xf>
    <xf numFmtId="0" fontId="5" fillId="0" borderId="2" xfId="0" applyFont="1" applyBorder="1"/>
    <xf numFmtId="9" fontId="4" fillId="0" borderId="2" xfId="0" applyNumberFormat="1" applyFont="1" applyBorder="1"/>
    <xf numFmtId="1" fontId="11" fillId="0" borderId="2" xfId="0" applyNumberFormat="1" applyFont="1" applyBorder="1"/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9" fontId="4" fillId="0" borderId="2" xfId="0" applyNumberFormat="1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4" fillId="2" borderId="0" xfId="0" applyFont="1" applyFill="1"/>
    <xf numFmtId="0" fontId="0" fillId="0" borderId="0" xfId="0"/>
    <xf numFmtId="0" fontId="5" fillId="0" borderId="0" xfId="0" applyFont="1" applyAlignment="1">
      <alignment vertical="top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1" fillId="0" borderId="0" xfId="0" applyFont="1"/>
    <xf numFmtId="0" fontId="9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color rgb="FF55555E"/>
      </font>
      <fill>
        <patternFill patternType="solid">
          <fgColor rgb="FFD9D9DE"/>
          <bgColor rgb="FFD9D9D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ensuma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49"/>
  <sheetViews>
    <sheetView showGridLines="0" tabSelected="1" workbookViewId="0"/>
  </sheetViews>
  <sheetFormatPr baseColWidth="10" defaultColWidth="9.140625" defaultRowHeight="15" x14ac:dyDescent="0.25"/>
  <cols>
    <col min="1" max="1" width="3" customWidth="1"/>
    <col min="2" max="2" width="6" customWidth="1"/>
    <col min="3" max="3" width="90" customWidth="1"/>
  </cols>
  <sheetData>
    <row r="2" spans="2:3" ht="27.95" customHeight="1" x14ac:dyDescent="0.35">
      <c r="B2" s="1" t="s">
        <v>0</v>
      </c>
    </row>
    <row r="3" spans="2:3" x14ac:dyDescent="0.25">
      <c r="B3" s="2" t="s">
        <v>1</v>
      </c>
    </row>
    <row r="5" spans="2:3" ht="21.95" customHeight="1" x14ac:dyDescent="0.3">
      <c r="B5" s="3" t="s">
        <v>2</v>
      </c>
    </row>
    <row r="6" spans="2:3" x14ac:dyDescent="0.25">
      <c r="B6" s="4">
        <v>1</v>
      </c>
      <c r="C6" s="5" t="s">
        <v>3</v>
      </c>
    </row>
    <row r="7" spans="2:3" ht="33.950000000000003" customHeight="1" x14ac:dyDescent="0.25">
      <c r="C7" s="6" t="s">
        <v>4</v>
      </c>
    </row>
    <row r="8" spans="2:3" x14ac:dyDescent="0.25">
      <c r="B8" s="4">
        <v>2</v>
      </c>
      <c r="C8" s="5" t="s">
        <v>5</v>
      </c>
    </row>
    <row r="9" spans="2:3" ht="33.950000000000003" customHeight="1" x14ac:dyDescent="0.25">
      <c r="C9" s="6" t="s">
        <v>6</v>
      </c>
    </row>
    <row r="10" spans="2:3" x14ac:dyDescent="0.25">
      <c r="B10" s="4">
        <v>3</v>
      </c>
      <c r="C10" s="5" t="s">
        <v>7</v>
      </c>
    </row>
    <row r="11" spans="2:3" ht="33.950000000000003" customHeight="1" x14ac:dyDescent="0.25">
      <c r="C11" s="6" t="s">
        <v>8</v>
      </c>
    </row>
    <row r="12" spans="2:3" x14ac:dyDescent="0.25">
      <c r="B12" s="4">
        <v>4</v>
      </c>
      <c r="C12" s="5" t="s">
        <v>9</v>
      </c>
    </row>
    <row r="13" spans="2:3" ht="33.950000000000003" customHeight="1" x14ac:dyDescent="0.25">
      <c r="C13" s="6" t="s">
        <v>10</v>
      </c>
    </row>
    <row r="14" spans="2:3" x14ac:dyDescent="0.25">
      <c r="B14" s="4">
        <v>5</v>
      </c>
      <c r="C14" s="5" t="s">
        <v>11</v>
      </c>
    </row>
    <row r="15" spans="2:3" ht="33.950000000000003" customHeight="1" x14ac:dyDescent="0.25">
      <c r="C15" s="6" t="s">
        <v>12</v>
      </c>
    </row>
    <row r="17" spans="2:3" ht="21.95" customHeight="1" x14ac:dyDescent="0.3">
      <c r="B17" s="3" t="s">
        <v>13</v>
      </c>
    </row>
    <row r="18" spans="2:3" x14ac:dyDescent="0.25">
      <c r="B18" s="7">
        <v>1</v>
      </c>
      <c r="C18" s="8" t="s">
        <v>14</v>
      </c>
    </row>
    <row r="19" spans="2:3" x14ac:dyDescent="0.25">
      <c r="B19" s="7">
        <v>2</v>
      </c>
      <c r="C19" s="8" t="s">
        <v>15</v>
      </c>
    </row>
    <row r="20" spans="2:3" x14ac:dyDescent="0.25">
      <c r="B20" s="9">
        <v>3</v>
      </c>
      <c r="C20" s="10" t="s">
        <v>16</v>
      </c>
    </row>
    <row r="21" spans="2:3" x14ac:dyDescent="0.25">
      <c r="B21" s="9">
        <v>4</v>
      </c>
      <c r="C21" s="10" t="s">
        <v>17</v>
      </c>
    </row>
    <row r="22" spans="2:3" ht="18.95" customHeight="1" x14ac:dyDescent="0.25">
      <c r="C22" s="11" t="s">
        <v>18</v>
      </c>
    </row>
    <row r="23" spans="2:3" ht="18.95" customHeight="1" x14ac:dyDescent="0.25">
      <c r="C23" s="11" t="s">
        <v>19</v>
      </c>
    </row>
    <row r="25" spans="2:3" ht="21.95" customHeight="1" x14ac:dyDescent="0.3">
      <c r="B25" s="3" t="s">
        <v>20</v>
      </c>
    </row>
    <row r="26" spans="2:3" x14ac:dyDescent="0.25">
      <c r="C26" s="12" t="s">
        <v>21</v>
      </c>
    </row>
    <row r="27" spans="2:3" x14ac:dyDescent="0.25">
      <c r="C27" s="12" t="s">
        <v>22</v>
      </c>
    </row>
    <row r="28" spans="2:3" x14ac:dyDescent="0.25">
      <c r="C28" s="12" t="s">
        <v>23</v>
      </c>
    </row>
    <row r="29" spans="2:3" x14ac:dyDescent="0.25">
      <c r="C29" s="12" t="s">
        <v>24</v>
      </c>
    </row>
    <row r="30" spans="2:3" x14ac:dyDescent="0.25">
      <c r="C30" s="12" t="s">
        <v>25</v>
      </c>
    </row>
    <row r="31" spans="2:3" x14ac:dyDescent="0.25">
      <c r="C31" s="12" t="s">
        <v>26</v>
      </c>
    </row>
    <row r="32" spans="2:3" ht="18.95" customHeight="1" x14ac:dyDescent="0.25">
      <c r="C32" s="11" t="s">
        <v>27</v>
      </c>
    </row>
    <row r="34" spans="2:3" ht="21.95" customHeight="1" x14ac:dyDescent="0.3">
      <c r="B34" s="3" t="s">
        <v>28</v>
      </c>
    </row>
    <row r="35" spans="2:3" ht="18.95" customHeight="1" x14ac:dyDescent="0.25">
      <c r="B35" s="13" t="s">
        <v>29</v>
      </c>
      <c r="C35" s="6" t="s">
        <v>30</v>
      </c>
    </row>
    <row r="36" spans="2:3" ht="18.95" customHeight="1" x14ac:dyDescent="0.25">
      <c r="B36" s="13" t="s">
        <v>29</v>
      </c>
      <c r="C36" s="6" t="s">
        <v>31</v>
      </c>
    </row>
    <row r="37" spans="2:3" ht="18.95" customHeight="1" x14ac:dyDescent="0.25">
      <c r="B37" s="13" t="s">
        <v>29</v>
      </c>
      <c r="C37" s="6" t="s">
        <v>32</v>
      </c>
    </row>
    <row r="38" spans="2:3" ht="18.95" customHeight="1" x14ac:dyDescent="0.25">
      <c r="B38" s="13" t="s">
        <v>29</v>
      </c>
      <c r="C38" s="6" t="s">
        <v>33</v>
      </c>
    </row>
    <row r="39" spans="2:3" ht="33.950000000000003" customHeight="1" x14ac:dyDescent="0.25">
      <c r="B39" s="13" t="s">
        <v>29</v>
      </c>
      <c r="C39" s="6" t="s">
        <v>34</v>
      </c>
    </row>
    <row r="40" spans="2:3" ht="18.95" customHeight="1" x14ac:dyDescent="0.25">
      <c r="B40" s="13" t="s">
        <v>29</v>
      </c>
      <c r="C40" s="6" t="s">
        <v>35</v>
      </c>
    </row>
    <row r="42" spans="2:3" ht="21.95" customHeight="1" x14ac:dyDescent="0.3">
      <c r="B42" s="3" t="s">
        <v>36</v>
      </c>
    </row>
    <row r="43" spans="2:3" ht="18.95" customHeight="1" x14ac:dyDescent="0.25">
      <c r="B43" s="13" t="s">
        <v>29</v>
      </c>
      <c r="C43" s="6" t="s">
        <v>37</v>
      </c>
    </row>
    <row r="44" spans="2:3" ht="18.95" customHeight="1" x14ac:dyDescent="0.25">
      <c r="B44" s="13" t="s">
        <v>29</v>
      </c>
      <c r="C44" s="6" t="s">
        <v>38</v>
      </c>
    </row>
    <row r="45" spans="2:3" ht="18.95" customHeight="1" x14ac:dyDescent="0.25">
      <c r="B45" s="13" t="s">
        <v>29</v>
      </c>
      <c r="C45" s="6" t="s">
        <v>39</v>
      </c>
    </row>
    <row r="46" spans="2:3" ht="18.95" customHeight="1" x14ac:dyDescent="0.25">
      <c r="B46" s="13" t="s">
        <v>29</v>
      </c>
      <c r="C46" s="6" t="s">
        <v>40</v>
      </c>
    </row>
    <row r="47" spans="2:3" ht="18.95" customHeight="1" x14ac:dyDescent="0.25">
      <c r="B47" s="13" t="s">
        <v>29</v>
      </c>
      <c r="C47" s="6" t="s">
        <v>41</v>
      </c>
    </row>
    <row r="49" spans="2:2" ht="21.95" customHeight="1" x14ac:dyDescent="0.25">
      <c r="B49" s="14" t="s">
        <v>42</v>
      </c>
    </row>
  </sheetData>
  <hyperlinks>
    <hyperlink ref="B49" r:id="rId1" xr:uid="{00000000-0004-0000-0000-000000000000}"/>
  </hyperlinks>
  <pageMargins left="0.75" right="0.75" top="1" bottom="1" header="0.5" footer="0.5"/>
  <pageSetup fitToHeight="0" orientation="portrait"/>
  <headerFooter>
    <oddFooter>&amp;Ccensuma.com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61"/>
  <sheetViews>
    <sheetView showGridLines="0" workbookViewId="0"/>
  </sheetViews>
  <sheetFormatPr baseColWidth="10" defaultColWidth="9.140625" defaultRowHeight="15" x14ac:dyDescent="0.25"/>
  <cols>
    <col min="1" max="1" width="6" customWidth="1"/>
    <col min="2" max="2" width="62" customWidth="1"/>
    <col min="3" max="5" width="11" customWidth="1"/>
    <col min="6" max="6" width="15" customWidth="1"/>
  </cols>
  <sheetData>
    <row r="1" spans="1:6" ht="27.95" customHeight="1" x14ac:dyDescent="0.35">
      <c r="A1" s="44" t="s">
        <v>0</v>
      </c>
      <c r="B1" s="40"/>
      <c r="C1" s="40"/>
      <c r="D1" s="40"/>
      <c r="E1" s="40"/>
      <c r="F1" s="40"/>
    </row>
    <row r="2" spans="1:6" ht="18.95" customHeight="1" x14ac:dyDescent="0.25">
      <c r="A2" s="41" t="s">
        <v>43</v>
      </c>
      <c r="B2" s="40"/>
      <c r="C2" s="40"/>
      <c r="D2" s="40"/>
      <c r="E2" s="40"/>
      <c r="F2" s="40"/>
    </row>
    <row r="3" spans="1:6" ht="24" customHeight="1" x14ac:dyDescent="0.25">
      <c r="A3" s="42" t="s">
        <v>44</v>
      </c>
      <c r="B3" s="40"/>
      <c r="C3" s="15"/>
      <c r="D3" s="15"/>
      <c r="E3" s="15"/>
      <c r="F3" s="15"/>
    </row>
    <row r="5" spans="1:6" ht="32.1" customHeight="1" x14ac:dyDescent="0.25">
      <c r="A5" s="16" t="s">
        <v>45</v>
      </c>
      <c r="B5" s="17" t="s">
        <v>46</v>
      </c>
      <c r="C5" s="16" t="s">
        <v>47</v>
      </c>
      <c r="D5" s="16" t="s">
        <v>48</v>
      </c>
      <c r="E5" s="16" t="s">
        <v>49</v>
      </c>
      <c r="F5" s="16" t="s">
        <v>50</v>
      </c>
    </row>
    <row r="6" spans="1:6" ht="20.100000000000001" customHeight="1" x14ac:dyDescent="0.25">
      <c r="A6" s="39" t="s">
        <v>51</v>
      </c>
      <c r="B6" s="40"/>
      <c r="C6" s="40"/>
      <c r="D6" s="40"/>
      <c r="E6" s="40"/>
      <c r="F6" s="40"/>
    </row>
    <row r="7" spans="1:6" ht="24" customHeight="1" x14ac:dyDescent="0.25">
      <c r="A7" s="18">
        <v>1</v>
      </c>
      <c r="B7" s="19" t="s">
        <v>52</v>
      </c>
      <c r="C7" s="20"/>
      <c r="D7" s="20"/>
      <c r="E7" s="20"/>
      <c r="F7" s="20"/>
    </row>
    <row r="8" spans="1:6" ht="24" customHeight="1" x14ac:dyDescent="0.25">
      <c r="A8" s="18">
        <v>2</v>
      </c>
      <c r="B8" s="19" t="s">
        <v>53</v>
      </c>
      <c r="C8" s="20"/>
      <c r="D8" s="20"/>
      <c r="E8" s="20"/>
      <c r="F8" s="20"/>
    </row>
    <row r="9" spans="1:6" ht="24" customHeight="1" x14ac:dyDescent="0.25">
      <c r="A9" s="18">
        <v>3</v>
      </c>
      <c r="B9" s="19" t="s">
        <v>54</v>
      </c>
      <c r="C9" s="20"/>
      <c r="D9" s="20"/>
      <c r="E9" s="20"/>
      <c r="F9" s="20"/>
    </row>
    <row r="10" spans="1:6" ht="33.950000000000003" customHeight="1" x14ac:dyDescent="0.25">
      <c r="A10" s="18">
        <v>4</v>
      </c>
      <c r="B10" s="19" t="s">
        <v>55</v>
      </c>
      <c r="C10" s="20"/>
      <c r="D10" s="20"/>
      <c r="E10" s="20"/>
      <c r="F10" s="20"/>
    </row>
    <row r="11" spans="1:6" ht="33.950000000000003" customHeight="1" x14ac:dyDescent="0.25">
      <c r="A11" s="18">
        <v>5</v>
      </c>
      <c r="B11" s="19" t="s">
        <v>56</v>
      </c>
      <c r="C11" s="20"/>
      <c r="D11" s="20"/>
      <c r="E11" s="20"/>
      <c r="F11" s="20"/>
    </row>
    <row r="12" spans="1:6" ht="20.100000000000001" customHeight="1" x14ac:dyDescent="0.25">
      <c r="A12" s="39" t="s">
        <v>57</v>
      </c>
      <c r="B12" s="40"/>
      <c r="C12" s="40"/>
      <c r="D12" s="40"/>
      <c r="E12" s="40"/>
      <c r="F12" s="40"/>
    </row>
    <row r="13" spans="1:6" ht="24" customHeight="1" x14ac:dyDescent="0.25">
      <c r="A13" s="18">
        <v>6</v>
      </c>
      <c r="B13" s="19" t="s">
        <v>58</v>
      </c>
      <c r="C13" s="20"/>
      <c r="D13" s="20"/>
      <c r="E13" s="20"/>
      <c r="F13" s="20"/>
    </row>
    <row r="14" spans="1:6" ht="33.950000000000003" customHeight="1" x14ac:dyDescent="0.25">
      <c r="A14" s="18">
        <v>7</v>
      </c>
      <c r="B14" s="19" t="s">
        <v>59</v>
      </c>
      <c r="C14" s="20"/>
      <c r="D14" s="20"/>
      <c r="E14" s="20"/>
      <c r="F14" s="20"/>
    </row>
    <row r="15" spans="1:6" ht="24" customHeight="1" x14ac:dyDescent="0.25">
      <c r="A15" s="18">
        <v>8</v>
      </c>
      <c r="B15" s="19" t="s">
        <v>60</v>
      </c>
      <c r="C15" s="20"/>
      <c r="D15" s="20"/>
      <c r="E15" s="20"/>
      <c r="F15" s="20"/>
    </row>
    <row r="16" spans="1:6" ht="24" customHeight="1" x14ac:dyDescent="0.25">
      <c r="A16" s="18">
        <v>9</v>
      </c>
      <c r="B16" s="19" t="s">
        <v>61</v>
      </c>
      <c r="C16" s="20"/>
      <c r="D16" s="20"/>
      <c r="E16" s="20"/>
      <c r="F16" s="20"/>
    </row>
    <row r="17" spans="1:6" ht="24" customHeight="1" x14ac:dyDescent="0.25">
      <c r="A17" s="18">
        <v>10</v>
      </c>
      <c r="B17" s="19" t="s">
        <v>62</v>
      </c>
      <c r="C17" s="20"/>
      <c r="D17" s="20"/>
      <c r="E17" s="20"/>
      <c r="F17" s="20"/>
    </row>
    <row r="18" spans="1:6" ht="20.100000000000001" customHeight="1" x14ac:dyDescent="0.25">
      <c r="A18" s="39" t="s">
        <v>63</v>
      </c>
      <c r="B18" s="40"/>
      <c r="C18" s="40"/>
      <c r="D18" s="40"/>
      <c r="E18" s="40"/>
      <c r="F18" s="40"/>
    </row>
    <row r="19" spans="1:6" ht="24" customHeight="1" x14ac:dyDescent="0.25">
      <c r="A19" s="18">
        <v>11</v>
      </c>
      <c r="B19" s="19" t="s">
        <v>64</v>
      </c>
      <c r="C19" s="20"/>
      <c r="D19" s="20"/>
      <c r="E19" s="20"/>
      <c r="F19" s="20"/>
    </row>
    <row r="20" spans="1:6" ht="24" customHeight="1" x14ac:dyDescent="0.25">
      <c r="A20" s="18">
        <v>12</v>
      </c>
      <c r="B20" s="19" t="s">
        <v>65</v>
      </c>
      <c r="C20" s="20"/>
      <c r="D20" s="20"/>
      <c r="E20" s="20"/>
      <c r="F20" s="20"/>
    </row>
    <row r="21" spans="1:6" ht="33.950000000000003" customHeight="1" x14ac:dyDescent="0.25">
      <c r="A21" s="18">
        <v>13</v>
      </c>
      <c r="B21" s="19" t="s">
        <v>66</v>
      </c>
      <c r="C21" s="20"/>
      <c r="D21" s="20"/>
      <c r="E21" s="20"/>
      <c r="F21" s="20"/>
    </row>
    <row r="22" spans="1:6" ht="33.950000000000003" customHeight="1" x14ac:dyDescent="0.25">
      <c r="A22" s="18">
        <v>14</v>
      </c>
      <c r="B22" s="19" t="s">
        <v>67</v>
      </c>
      <c r="C22" s="20"/>
      <c r="D22" s="20"/>
      <c r="E22" s="20"/>
      <c r="F22" s="20"/>
    </row>
    <row r="23" spans="1:6" ht="24" customHeight="1" x14ac:dyDescent="0.25">
      <c r="A23" s="18">
        <v>15</v>
      </c>
      <c r="B23" s="19" t="s">
        <v>68</v>
      </c>
      <c r="C23" s="20"/>
      <c r="D23" s="20"/>
      <c r="E23" s="20"/>
      <c r="F23" s="20"/>
    </row>
    <row r="24" spans="1:6" ht="20.100000000000001" customHeight="1" x14ac:dyDescent="0.25">
      <c r="A24" s="39" t="s">
        <v>69</v>
      </c>
      <c r="B24" s="40"/>
      <c r="C24" s="40"/>
      <c r="D24" s="40"/>
      <c r="E24" s="40"/>
      <c r="F24" s="40"/>
    </row>
    <row r="25" spans="1:6" ht="33.950000000000003" customHeight="1" x14ac:dyDescent="0.25">
      <c r="A25" s="18">
        <v>16</v>
      </c>
      <c r="B25" s="19" t="s">
        <v>70</v>
      </c>
      <c r="C25" s="20"/>
      <c r="D25" s="20"/>
      <c r="E25" s="20"/>
      <c r="F25" s="20"/>
    </row>
    <row r="26" spans="1:6" ht="24" customHeight="1" x14ac:dyDescent="0.25">
      <c r="A26" s="18">
        <v>17</v>
      </c>
      <c r="B26" s="19" t="s">
        <v>71</v>
      </c>
      <c r="C26" s="20"/>
      <c r="D26" s="20"/>
      <c r="E26" s="20"/>
      <c r="F26" s="20"/>
    </row>
    <row r="27" spans="1:6" ht="24" customHeight="1" x14ac:dyDescent="0.25">
      <c r="A27" s="18">
        <v>18</v>
      </c>
      <c r="B27" s="19" t="s">
        <v>72</v>
      </c>
      <c r="C27" s="20"/>
      <c r="D27" s="20"/>
      <c r="E27" s="20"/>
      <c r="F27" s="20"/>
    </row>
    <row r="28" spans="1:6" ht="33.950000000000003" customHeight="1" x14ac:dyDescent="0.25">
      <c r="A28" s="18">
        <v>19</v>
      </c>
      <c r="B28" s="19" t="s">
        <v>73</v>
      </c>
      <c r="C28" s="20"/>
      <c r="D28" s="20"/>
      <c r="E28" s="20"/>
      <c r="F28" s="20"/>
    </row>
    <row r="29" spans="1:6" ht="24" customHeight="1" x14ac:dyDescent="0.25">
      <c r="A29" s="18">
        <v>20</v>
      </c>
      <c r="B29" s="19" t="s">
        <v>74</v>
      </c>
      <c r="C29" s="20"/>
      <c r="D29" s="20"/>
      <c r="E29" s="20"/>
      <c r="F29" s="20"/>
    </row>
    <row r="30" spans="1:6" ht="20.100000000000001" customHeight="1" x14ac:dyDescent="0.25">
      <c r="A30" s="39" t="s">
        <v>75</v>
      </c>
      <c r="B30" s="40"/>
      <c r="C30" s="40"/>
      <c r="D30" s="40"/>
      <c r="E30" s="40"/>
      <c r="F30" s="40"/>
    </row>
    <row r="31" spans="1:6" ht="24" customHeight="1" x14ac:dyDescent="0.25">
      <c r="A31" s="18">
        <v>21</v>
      </c>
      <c r="B31" s="19" t="s">
        <v>76</v>
      </c>
      <c r="C31" s="20"/>
      <c r="D31" s="20"/>
      <c r="E31" s="20"/>
      <c r="F31" s="20"/>
    </row>
    <row r="32" spans="1:6" ht="24" customHeight="1" x14ac:dyDescent="0.25">
      <c r="A32" s="18">
        <v>22</v>
      </c>
      <c r="B32" s="19" t="s">
        <v>77</v>
      </c>
      <c r="C32" s="20"/>
      <c r="D32" s="20"/>
      <c r="E32" s="20"/>
      <c r="F32" s="20"/>
    </row>
    <row r="33" spans="1:6" ht="24" customHeight="1" x14ac:dyDescent="0.25">
      <c r="A33" s="18">
        <v>23</v>
      </c>
      <c r="B33" s="19" t="s">
        <v>78</v>
      </c>
      <c r="C33" s="20"/>
      <c r="D33" s="20"/>
      <c r="E33" s="20"/>
      <c r="F33" s="20"/>
    </row>
    <row r="34" spans="1:6" ht="24" customHeight="1" x14ac:dyDescent="0.25">
      <c r="A34" s="18">
        <v>24</v>
      </c>
      <c r="B34" s="19" t="s">
        <v>79</v>
      </c>
      <c r="C34" s="20"/>
      <c r="D34" s="20"/>
      <c r="E34" s="20"/>
      <c r="F34" s="20"/>
    </row>
    <row r="35" spans="1:6" ht="24" customHeight="1" x14ac:dyDescent="0.25">
      <c r="A35" s="18">
        <v>25</v>
      </c>
      <c r="B35" s="19" t="s">
        <v>80</v>
      </c>
      <c r="C35" s="20"/>
      <c r="D35" s="20"/>
      <c r="E35" s="20"/>
      <c r="F35" s="20"/>
    </row>
    <row r="36" spans="1:6" ht="20.100000000000001" customHeight="1" x14ac:dyDescent="0.25">
      <c r="A36" s="39" t="s">
        <v>81</v>
      </c>
      <c r="B36" s="40"/>
      <c r="C36" s="40"/>
      <c r="D36" s="40"/>
      <c r="E36" s="40"/>
      <c r="F36" s="40"/>
    </row>
    <row r="37" spans="1:6" ht="24" customHeight="1" x14ac:dyDescent="0.25">
      <c r="A37" s="18">
        <v>26</v>
      </c>
      <c r="B37" s="19" t="s">
        <v>82</v>
      </c>
      <c r="C37" s="20"/>
      <c r="D37" s="20"/>
      <c r="E37" s="20"/>
      <c r="F37" s="20"/>
    </row>
    <row r="38" spans="1:6" ht="24" customHeight="1" x14ac:dyDescent="0.25">
      <c r="A38" s="18">
        <v>27</v>
      </c>
      <c r="B38" s="19" t="s">
        <v>83</v>
      </c>
      <c r="C38" s="20"/>
      <c r="D38" s="20"/>
      <c r="E38" s="20"/>
      <c r="F38" s="20"/>
    </row>
    <row r="39" spans="1:6" ht="33.950000000000003" customHeight="1" x14ac:dyDescent="0.25">
      <c r="A39" s="18">
        <v>28</v>
      </c>
      <c r="B39" s="19" t="s">
        <v>84</v>
      </c>
      <c r="C39" s="20"/>
      <c r="D39" s="20"/>
      <c r="E39" s="20"/>
      <c r="F39" s="20"/>
    </row>
    <row r="40" spans="1:6" ht="24" customHeight="1" x14ac:dyDescent="0.25">
      <c r="A40" s="18">
        <v>29</v>
      </c>
      <c r="B40" s="19" t="s">
        <v>85</v>
      </c>
      <c r="C40" s="20"/>
      <c r="D40" s="20"/>
      <c r="E40" s="20"/>
      <c r="F40" s="20"/>
    </row>
    <row r="41" spans="1:6" ht="24" customHeight="1" x14ac:dyDescent="0.25">
      <c r="A41" s="18">
        <v>30</v>
      </c>
      <c r="B41" s="19" t="s">
        <v>86</v>
      </c>
      <c r="C41" s="20"/>
      <c r="D41" s="20"/>
      <c r="E41" s="20"/>
      <c r="F41" s="20"/>
    </row>
    <row r="43" spans="1:6" ht="17.25" x14ac:dyDescent="0.3">
      <c r="A43" s="3" t="s">
        <v>87</v>
      </c>
    </row>
    <row r="44" spans="1:6" ht="18.95" customHeight="1" x14ac:dyDescent="0.25">
      <c r="A44" s="41" t="s">
        <v>88</v>
      </c>
      <c r="B44" s="40"/>
      <c r="C44" s="40"/>
      <c r="D44" s="40"/>
      <c r="E44" s="40"/>
      <c r="F44" s="40"/>
    </row>
    <row r="45" spans="1:6" ht="27.95" customHeight="1" x14ac:dyDescent="0.25">
      <c r="A45" s="45" t="s">
        <v>89</v>
      </c>
      <c r="B45" s="40"/>
      <c r="C45" s="40"/>
      <c r="D45" s="40"/>
      <c r="E45" s="40"/>
      <c r="F45" s="40"/>
    </row>
    <row r="46" spans="1:6" x14ac:dyDescent="0.25">
      <c r="A46" s="43" t="s">
        <v>90</v>
      </c>
      <c r="B46" s="40"/>
      <c r="C46" s="40"/>
      <c r="D46" s="40"/>
      <c r="E46" s="40"/>
      <c r="F46" s="40"/>
    </row>
    <row r="48" spans="1:6" ht="17.25" x14ac:dyDescent="0.3">
      <c r="A48" s="3" t="s">
        <v>91</v>
      </c>
    </row>
    <row r="49" spans="1:6" x14ac:dyDescent="0.25">
      <c r="A49" s="42" t="s">
        <v>92</v>
      </c>
      <c r="B49" s="40"/>
      <c r="C49" s="40"/>
      <c r="D49" s="40"/>
      <c r="E49" s="40"/>
      <c r="F49" s="40"/>
    </row>
    <row r="50" spans="1:6" ht="24" customHeight="1" x14ac:dyDescent="0.25">
      <c r="A50" s="15"/>
      <c r="B50" s="15"/>
      <c r="C50" s="15"/>
      <c r="D50" s="15"/>
      <c r="E50" s="15"/>
      <c r="F50" s="15"/>
    </row>
    <row r="51" spans="1:6" ht="24" customHeight="1" x14ac:dyDescent="0.25">
      <c r="A51" s="15"/>
      <c r="B51" s="15"/>
      <c r="C51" s="15"/>
      <c r="D51" s="15"/>
      <c r="E51" s="15"/>
      <c r="F51" s="15"/>
    </row>
    <row r="52" spans="1:6" ht="24" customHeight="1" x14ac:dyDescent="0.25">
      <c r="A52" s="15"/>
      <c r="B52" s="15"/>
      <c r="C52" s="15"/>
      <c r="D52" s="15"/>
      <c r="E52" s="15"/>
      <c r="F52" s="15"/>
    </row>
    <row r="53" spans="1:6" ht="24" customHeight="1" x14ac:dyDescent="0.25">
      <c r="A53" s="15"/>
      <c r="B53" s="15"/>
      <c r="C53" s="15"/>
      <c r="D53" s="15"/>
      <c r="E53" s="15"/>
      <c r="F53" s="15"/>
    </row>
    <row r="55" spans="1:6" x14ac:dyDescent="0.25">
      <c r="A55" s="42" t="s">
        <v>93</v>
      </c>
      <c r="B55" s="40"/>
      <c r="C55" s="40"/>
      <c r="D55" s="40"/>
      <c r="E55" s="40"/>
      <c r="F55" s="40"/>
    </row>
    <row r="56" spans="1:6" ht="24" customHeight="1" x14ac:dyDescent="0.25">
      <c r="A56" s="15"/>
      <c r="B56" s="15"/>
      <c r="C56" s="15"/>
      <c r="D56" s="15"/>
      <c r="E56" s="15"/>
      <c r="F56" s="15"/>
    </row>
    <row r="57" spans="1:6" ht="24" customHeight="1" x14ac:dyDescent="0.25">
      <c r="A57" s="15"/>
      <c r="B57" s="15"/>
      <c r="C57" s="15"/>
      <c r="D57" s="15"/>
      <c r="E57" s="15"/>
      <c r="F57" s="15"/>
    </row>
    <row r="58" spans="1:6" ht="24" customHeight="1" x14ac:dyDescent="0.25">
      <c r="A58" s="15"/>
      <c r="B58" s="15"/>
      <c r="C58" s="15"/>
      <c r="D58" s="15"/>
      <c r="E58" s="15"/>
      <c r="F58" s="15"/>
    </row>
    <row r="59" spans="1:6" ht="24" customHeight="1" x14ac:dyDescent="0.25">
      <c r="A59" s="15"/>
      <c r="B59" s="15"/>
      <c r="C59" s="15"/>
      <c r="D59" s="15"/>
      <c r="E59" s="15"/>
      <c r="F59" s="15"/>
    </row>
    <row r="61" spans="1:6" x14ac:dyDescent="0.25">
      <c r="A61" s="5" t="s">
        <v>94</v>
      </c>
    </row>
  </sheetData>
  <mergeCells count="14">
    <mergeCell ref="A55:F55"/>
    <mergeCell ref="A44:F44"/>
    <mergeCell ref="A1:F1"/>
    <mergeCell ref="A45:F45"/>
    <mergeCell ref="A6:F6"/>
    <mergeCell ref="A12:F12"/>
    <mergeCell ref="A18:F18"/>
    <mergeCell ref="A30:F30"/>
    <mergeCell ref="A3:B3"/>
    <mergeCell ref="A24:F24"/>
    <mergeCell ref="A2:F2"/>
    <mergeCell ref="A49:F49"/>
    <mergeCell ref="A46:F46"/>
    <mergeCell ref="A36:F36"/>
  </mergeCells>
  <pageMargins left="0.5" right="0.5" top="0.6" bottom="0.6" header="0.5" footer="0.5"/>
  <pageSetup fitToHeight="0" orientation="portrait"/>
  <headerFooter>
    <oddFooter>&amp;Ccensuma.com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302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6" customWidth="1"/>
    <col min="2" max="2" width="26" customWidth="1"/>
    <col min="3" max="32" width="5.42578125" customWidth="1"/>
    <col min="33" max="33" width="7" customWidth="1"/>
    <col min="34" max="35" width="42" customWidth="1"/>
  </cols>
  <sheetData>
    <row r="1" spans="1:35" ht="30" customHeight="1" x14ac:dyDescent="0.25">
      <c r="A1" s="21"/>
      <c r="B1" s="21"/>
      <c r="C1" s="47" t="s">
        <v>51</v>
      </c>
      <c r="D1" s="40"/>
      <c r="E1" s="40"/>
      <c r="F1" s="40"/>
      <c r="G1" s="40"/>
      <c r="H1" s="46" t="s">
        <v>57</v>
      </c>
      <c r="I1" s="40"/>
      <c r="J1" s="40"/>
      <c r="K1" s="40"/>
      <c r="L1" s="40"/>
      <c r="M1" s="47" t="s">
        <v>63</v>
      </c>
      <c r="N1" s="40"/>
      <c r="O1" s="40"/>
      <c r="P1" s="40"/>
      <c r="Q1" s="40"/>
      <c r="R1" s="46" t="s">
        <v>69</v>
      </c>
      <c r="S1" s="40"/>
      <c r="T1" s="40"/>
      <c r="U1" s="40"/>
      <c r="V1" s="40"/>
      <c r="W1" s="47" t="s">
        <v>75</v>
      </c>
      <c r="X1" s="40"/>
      <c r="Y1" s="40"/>
      <c r="Z1" s="40"/>
      <c r="AA1" s="40"/>
      <c r="AB1" s="46" t="s">
        <v>81</v>
      </c>
      <c r="AC1" s="40"/>
      <c r="AD1" s="40"/>
      <c r="AE1" s="40"/>
      <c r="AF1" s="40"/>
      <c r="AG1" s="21"/>
      <c r="AH1" s="21"/>
      <c r="AI1" s="21"/>
    </row>
    <row r="2" spans="1:35" ht="21.95" customHeight="1" x14ac:dyDescent="0.25">
      <c r="A2" s="16" t="s">
        <v>45</v>
      </c>
      <c r="B2" s="16" t="s">
        <v>95</v>
      </c>
      <c r="C2" s="16" t="s">
        <v>96</v>
      </c>
      <c r="D2" s="16" t="s">
        <v>97</v>
      </c>
      <c r="E2" s="16" t="s">
        <v>98</v>
      </c>
      <c r="F2" s="16" t="s">
        <v>99</v>
      </c>
      <c r="G2" s="16" t="s">
        <v>100</v>
      </c>
      <c r="H2" s="16" t="s">
        <v>101</v>
      </c>
      <c r="I2" s="16" t="s">
        <v>102</v>
      </c>
      <c r="J2" s="16" t="s">
        <v>103</v>
      </c>
      <c r="K2" s="16" t="s">
        <v>104</v>
      </c>
      <c r="L2" s="16" t="s">
        <v>105</v>
      </c>
      <c r="M2" s="16" t="s">
        <v>106</v>
      </c>
      <c r="N2" s="16" t="s">
        <v>107</v>
      </c>
      <c r="O2" s="16" t="s">
        <v>108</v>
      </c>
      <c r="P2" s="16" t="s">
        <v>109</v>
      </c>
      <c r="Q2" s="16" t="s">
        <v>110</v>
      </c>
      <c r="R2" s="16" t="s">
        <v>111</v>
      </c>
      <c r="S2" s="16" t="s">
        <v>112</v>
      </c>
      <c r="T2" s="16" t="s">
        <v>113</v>
      </c>
      <c r="U2" s="16" t="s">
        <v>114</v>
      </c>
      <c r="V2" s="16" t="s">
        <v>115</v>
      </c>
      <c r="W2" s="16" t="s">
        <v>116</v>
      </c>
      <c r="X2" s="16" t="s">
        <v>117</v>
      </c>
      <c r="Y2" s="16" t="s">
        <v>118</v>
      </c>
      <c r="Z2" s="16" t="s">
        <v>119</v>
      </c>
      <c r="AA2" s="16" t="s">
        <v>120</v>
      </c>
      <c r="AB2" s="16" t="s">
        <v>121</v>
      </c>
      <c r="AC2" s="16" t="s">
        <v>122</v>
      </c>
      <c r="AD2" s="16" t="s">
        <v>123</v>
      </c>
      <c r="AE2" s="16" t="s">
        <v>124</v>
      </c>
      <c r="AF2" s="16" t="s">
        <v>125</v>
      </c>
      <c r="AG2" s="16" t="s">
        <v>126</v>
      </c>
      <c r="AH2" s="16" t="s">
        <v>127</v>
      </c>
      <c r="AI2" s="16" t="s">
        <v>128</v>
      </c>
    </row>
    <row r="3" spans="1:35" x14ac:dyDescent="0.25">
      <c r="A3" s="22">
        <v>1</v>
      </c>
      <c r="B3" t="s">
        <v>129</v>
      </c>
      <c r="C3" s="23">
        <v>3</v>
      </c>
      <c r="D3" s="23">
        <v>3</v>
      </c>
      <c r="E3" s="23">
        <v>3</v>
      </c>
      <c r="F3" s="23">
        <v>4</v>
      </c>
      <c r="G3" s="23">
        <v>4</v>
      </c>
      <c r="H3" s="23">
        <v>2</v>
      </c>
      <c r="I3" s="23">
        <v>3</v>
      </c>
      <c r="J3" s="23">
        <v>2</v>
      </c>
      <c r="K3" s="23">
        <v>3</v>
      </c>
      <c r="L3" s="23">
        <v>3</v>
      </c>
      <c r="M3" s="23">
        <v>3</v>
      </c>
      <c r="N3" s="23">
        <v>3</v>
      </c>
      <c r="O3" s="23">
        <v>2</v>
      </c>
      <c r="P3" s="23">
        <v>3</v>
      </c>
      <c r="Q3" s="23">
        <v>4</v>
      </c>
      <c r="R3" s="23">
        <v>2</v>
      </c>
      <c r="S3" s="23">
        <v>3</v>
      </c>
      <c r="T3" s="23">
        <v>1</v>
      </c>
      <c r="U3" s="23">
        <v>2</v>
      </c>
      <c r="V3" s="23">
        <v>2</v>
      </c>
      <c r="W3" s="23">
        <v>3</v>
      </c>
      <c r="X3" s="23">
        <v>3</v>
      </c>
      <c r="Y3" s="23">
        <v>3</v>
      </c>
      <c r="Z3" s="23">
        <v>2</v>
      </c>
      <c r="AA3" s="23">
        <v>1</v>
      </c>
      <c r="AB3" s="23">
        <v>3</v>
      </c>
      <c r="AC3" s="23">
        <v>3</v>
      </c>
      <c r="AD3" s="23">
        <v>3</v>
      </c>
      <c r="AE3" s="23">
        <v>3</v>
      </c>
      <c r="AF3" s="23">
        <v>2</v>
      </c>
      <c r="AG3" s="23">
        <v>7</v>
      </c>
      <c r="AH3" t="s">
        <v>130</v>
      </c>
      <c r="AI3" t="s">
        <v>131</v>
      </c>
    </row>
    <row r="4" spans="1:35" x14ac:dyDescent="0.25">
      <c r="A4" s="22">
        <v>2</v>
      </c>
      <c r="B4" t="s">
        <v>132</v>
      </c>
      <c r="C4" s="23">
        <v>4</v>
      </c>
      <c r="D4" s="23">
        <v>4</v>
      </c>
      <c r="E4" s="23">
        <v>4</v>
      </c>
      <c r="F4" s="23">
        <v>4</v>
      </c>
      <c r="G4" s="23">
        <v>2</v>
      </c>
      <c r="H4" s="23">
        <v>3</v>
      </c>
      <c r="I4" s="23">
        <v>3</v>
      </c>
      <c r="J4" s="23">
        <v>3</v>
      </c>
      <c r="K4" s="23">
        <v>2</v>
      </c>
      <c r="L4" s="23">
        <v>3</v>
      </c>
      <c r="M4" s="23">
        <v>4</v>
      </c>
      <c r="N4" s="23">
        <v>3</v>
      </c>
      <c r="O4" s="23">
        <v>4</v>
      </c>
      <c r="P4" s="23">
        <v>4</v>
      </c>
      <c r="Q4" s="23">
        <v>2</v>
      </c>
      <c r="R4" s="23">
        <v>1</v>
      </c>
      <c r="S4" s="23">
        <v>4</v>
      </c>
      <c r="T4" s="23">
        <v>3</v>
      </c>
      <c r="U4" s="23">
        <v>3</v>
      </c>
      <c r="V4" s="23">
        <v>4</v>
      </c>
      <c r="W4" s="23">
        <v>3</v>
      </c>
      <c r="X4" s="23">
        <v>3</v>
      </c>
      <c r="Y4" s="23">
        <v>3</v>
      </c>
      <c r="Z4" s="23">
        <v>2</v>
      </c>
      <c r="AA4" s="23">
        <v>2</v>
      </c>
      <c r="AB4" s="23">
        <v>3</v>
      </c>
      <c r="AC4" s="23">
        <v>4</v>
      </c>
      <c r="AD4" s="23">
        <v>3</v>
      </c>
      <c r="AE4" s="23">
        <v>2</v>
      </c>
      <c r="AF4" s="23">
        <v>3</v>
      </c>
      <c r="AG4" s="23">
        <v>7</v>
      </c>
    </row>
    <row r="5" spans="1:35" x14ac:dyDescent="0.25">
      <c r="A5" s="22">
        <v>3</v>
      </c>
      <c r="B5" t="s">
        <v>133</v>
      </c>
      <c r="C5" s="23">
        <v>3</v>
      </c>
      <c r="D5" s="23">
        <v>3</v>
      </c>
      <c r="E5" s="23">
        <v>1</v>
      </c>
      <c r="F5" s="23">
        <v>1</v>
      </c>
      <c r="G5" s="23">
        <v>3</v>
      </c>
      <c r="H5" s="23">
        <v>2</v>
      </c>
      <c r="I5" s="23">
        <v>1</v>
      </c>
      <c r="J5" s="23">
        <v>1</v>
      </c>
      <c r="K5" s="23">
        <v>2</v>
      </c>
      <c r="L5" s="23">
        <v>3</v>
      </c>
      <c r="M5" s="23">
        <v>3</v>
      </c>
      <c r="N5" s="23">
        <v>4</v>
      </c>
      <c r="O5" s="23">
        <v>3</v>
      </c>
      <c r="P5" s="23">
        <v>3</v>
      </c>
      <c r="Q5" s="23">
        <v>3</v>
      </c>
      <c r="R5" s="23">
        <v>2</v>
      </c>
      <c r="S5" s="23">
        <v>3</v>
      </c>
      <c r="T5" s="23">
        <v>2</v>
      </c>
      <c r="U5" s="23">
        <v>2</v>
      </c>
      <c r="V5" s="23">
        <v>3</v>
      </c>
      <c r="W5" s="23">
        <v>2</v>
      </c>
      <c r="X5" s="23">
        <v>3</v>
      </c>
      <c r="Y5" s="23">
        <v>1</v>
      </c>
      <c r="Z5" s="23">
        <v>3</v>
      </c>
      <c r="AA5" s="23">
        <v>2</v>
      </c>
      <c r="AB5" s="23">
        <v>4</v>
      </c>
      <c r="AC5" s="23">
        <v>3</v>
      </c>
      <c r="AD5" s="23">
        <v>2</v>
      </c>
      <c r="AE5" s="23">
        <v>4</v>
      </c>
      <c r="AF5" s="23">
        <v>3</v>
      </c>
      <c r="AG5" s="23">
        <v>10</v>
      </c>
    </row>
    <row r="6" spans="1:35" x14ac:dyDescent="0.25">
      <c r="A6" s="22">
        <v>4</v>
      </c>
      <c r="B6" t="s">
        <v>134</v>
      </c>
      <c r="C6" s="23">
        <v>4</v>
      </c>
      <c r="D6" s="23">
        <v>4</v>
      </c>
      <c r="E6" s="23">
        <v>4</v>
      </c>
      <c r="F6" s="23">
        <v>3</v>
      </c>
      <c r="G6" s="23">
        <v>3</v>
      </c>
      <c r="H6" s="23">
        <v>4</v>
      </c>
      <c r="I6" s="23">
        <v>3</v>
      </c>
      <c r="J6" s="23">
        <v>4</v>
      </c>
      <c r="K6" s="23">
        <v>3</v>
      </c>
      <c r="L6" s="23">
        <v>3</v>
      </c>
      <c r="M6" s="23">
        <v>4</v>
      </c>
      <c r="N6" s="23">
        <v>3</v>
      </c>
      <c r="O6" s="23">
        <v>3</v>
      </c>
      <c r="P6" s="23">
        <v>4</v>
      </c>
      <c r="Q6" s="23">
        <v>3</v>
      </c>
      <c r="R6" s="23">
        <v>4</v>
      </c>
      <c r="S6" s="23">
        <v>4</v>
      </c>
      <c r="T6" s="23">
        <v>4</v>
      </c>
      <c r="U6" s="23">
        <v>3</v>
      </c>
      <c r="V6" s="23">
        <v>4</v>
      </c>
      <c r="W6" s="23">
        <v>4</v>
      </c>
      <c r="X6" s="23">
        <v>2</v>
      </c>
      <c r="Y6" s="23">
        <v>3</v>
      </c>
      <c r="Z6" s="23">
        <v>3</v>
      </c>
      <c r="AA6" s="23">
        <v>4</v>
      </c>
      <c r="AB6" s="23">
        <v>4</v>
      </c>
      <c r="AC6" s="23">
        <v>4</v>
      </c>
      <c r="AD6" s="23">
        <v>4</v>
      </c>
      <c r="AE6" s="23">
        <v>4</v>
      </c>
      <c r="AF6" s="23">
        <v>4</v>
      </c>
      <c r="AG6" s="23">
        <v>10</v>
      </c>
      <c r="AH6" t="s">
        <v>135</v>
      </c>
      <c r="AI6" t="s">
        <v>136</v>
      </c>
    </row>
    <row r="7" spans="1:35" x14ac:dyDescent="0.25">
      <c r="A7" s="22">
        <v>5</v>
      </c>
      <c r="B7" t="s">
        <v>129</v>
      </c>
      <c r="C7" s="23">
        <v>2</v>
      </c>
      <c r="D7" s="23">
        <v>2</v>
      </c>
      <c r="E7" s="23">
        <v>2</v>
      </c>
      <c r="F7" s="23">
        <v>1</v>
      </c>
      <c r="G7" s="23">
        <v>4</v>
      </c>
      <c r="H7" s="23">
        <v>4</v>
      </c>
      <c r="I7" s="23">
        <v>2</v>
      </c>
      <c r="J7" s="23">
        <v>2</v>
      </c>
      <c r="K7" s="23">
        <v>2</v>
      </c>
      <c r="L7" s="23">
        <v>2</v>
      </c>
      <c r="M7" s="23">
        <v>2</v>
      </c>
      <c r="N7" s="23">
        <v>3</v>
      </c>
      <c r="O7" s="23">
        <v>3</v>
      </c>
      <c r="P7" s="23">
        <v>2</v>
      </c>
      <c r="Q7" s="23">
        <v>2</v>
      </c>
      <c r="R7" s="23">
        <v>2</v>
      </c>
      <c r="S7" s="23">
        <v>1</v>
      </c>
      <c r="T7" s="23">
        <v>2</v>
      </c>
      <c r="U7" s="23">
        <v>1</v>
      </c>
      <c r="V7" s="23">
        <v>2</v>
      </c>
      <c r="W7" s="23">
        <v>2</v>
      </c>
      <c r="X7" s="23">
        <v>1</v>
      </c>
      <c r="Y7" s="23">
        <v>2</v>
      </c>
      <c r="Z7" s="23">
        <v>1</v>
      </c>
      <c r="AA7" s="23">
        <v>1</v>
      </c>
      <c r="AB7" s="23">
        <v>3</v>
      </c>
      <c r="AC7" s="23">
        <v>3</v>
      </c>
      <c r="AD7" s="23">
        <v>2</v>
      </c>
      <c r="AE7" s="23">
        <v>1</v>
      </c>
      <c r="AF7" s="23">
        <v>1</v>
      </c>
      <c r="AG7" s="23">
        <v>4</v>
      </c>
    </row>
    <row r="8" spans="1:35" x14ac:dyDescent="0.25">
      <c r="A8" s="22">
        <v>6</v>
      </c>
      <c r="B8" t="s">
        <v>132</v>
      </c>
      <c r="C8" s="23">
        <v>3</v>
      </c>
      <c r="D8" s="23">
        <v>3</v>
      </c>
      <c r="E8" s="23">
        <v>2</v>
      </c>
      <c r="F8" s="23">
        <v>4</v>
      </c>
      <c r="G8" s="23">
        <v>3</v>
      </c>
      <c r="H8" s="23">
        <v>3</v>
      </c>
      <c r="I8" s="23">
        <v>4</v>
      </c>
      <c r="J8" s="23">
        <v>2</v>
      </c>
      <c r="K8" s="23">
        <v>3</v>
      </c>
      <c r="L8" s="23">
        <v>3</v>
      </c>
      <c r="M8" s="23">
        <v>3</v>
      </c>
      <c r="N8" s="23">
        <v>3</v>
      </c>
      <c r="O8" s="23">
        <v>4</v>
      </c>
      <c r="P8" s="23">
        <v>3</v>
      </c>
      <c r="Q8" s="23">
        <v>4</v>
      </c>
      <c r="R8" s="23">
        <v>1</v>
      </c>
      <c r="S8" s="23">
        <v>3</v>
      </c>
      <c r="T8" s="23">
        <v>3</v>
      </c>
      <c r="U8" s="23">
        <v>3</v>
      </c>
      <c r="V8" s="23">
        <v>3</v>
      </c>
      <c r="W8" s="23">
        <v>3</v>
      </c>
      <c r="X8" s="23">
        <v>3</v>
      </c>
      <c r="Y8" s="23">
        <v>3</v>
      </c>
      <c r="Z8" s="23">
        <v>2</v>
      </c>
      <c r="AA8" s="23">
        <v>3</v>
      </c>
      <c r="AB8" s="23">
        <v>4</v>
      </c>
      <c r="AC8" s="23">
        <v>4</v>
      </c>
      <c r="AD8" s="23">
        <v>4</v>
      </c>
      <c r="AE8" s="23">
        <v>3</v>
      </c>
      <c r="AF8" s="23">
        <v>4</v>
      </c>
      <c r="AG8" s="23">
        <v>7</v>
      </c>
    </row>
    <row r="9" spans="1:35" x14ac:dyDescent="0.25">
      <c r="A9" s="22">
        <v>7</v>
      </c>
      <c r="B9" t="s">
        <v>133</v>
      </c>
      <c r="C9" s="23">
        <v>3</v>
      </c>
      <c r="D9" s="23">
        <v>3</v>
      </c>
      <c r="E9" s="23">
        <v>3</v>
      </c>
      <c r="F9" s="23">
        <v>3</v>
      </c>
      <c r="G9" s="23">
        <v>3</v>
      </c>
      <c r="H9" s="23">
        <v>1</v>
      </c>
      <c r="I9" s="23">
        <v>3</v>
      </c>
      <c r="J9" s="23">
        <v>2</v>
      </c>
      <c r="K9" s="23">
        <v>2</v>
      </c>
      <c r="L9" s="23">
        <v>1</v>
      </c>
      <c r="M9" s="23">
        <v>4</v>
      </c>
      <c r="N9" s="23">
        <v>4</v>
      </c>
      <c r="O9" s="23">
        <v>3</v>
      </c>
      <c r="P9" s="23">
        <v>1</v>
      </c>
      <c r="Q9" s="23">
        <v>3</v>
      </c>
      <c r="R9" s="23">
        <v>2</v>
      </c>
      <c r="S9" s="23">
        <v>2</v>
      </c>
      <c r="T9" s="23">
        <v>2</v>
      </c>
      <c r="U9" s="23">
        <v>3</v>
      </c>
      <c r="V9" s="23">
        <v>2</v>
      </c>
      <c r="W9" s="23">
        <v>2</v>
      </c>
      <c r="X9" s="23">
        <v>3</v>
      </c>
      <c r="Y9" s="23">
        <v>2</v>
      </c>
      <c r="Z9" s="23">
        <v>1</v>
      </c>
      <c r="AA9" s="23">
        <v>3</v>
      </c>
      <c r="AB9" s="23">
        <v>3</v>
      </c>
      <c r="AC9" s="23">
        <v>3</v>
      </c>
      <c r="AD9" s="23">
        <v>4</v>
      </c>
      <c r="AE9" s="23">
        <v>2</v>
      </c>
      <c r="AF9" s="23">
        <v>3</v>
      </c>
      <c r="AG9" s="23">
        <v>6</v>
      </c>
      <c r="AH9" t="s">
        <v>137</v>
      </c>
      <c r="AI9" t="s">
        <v>138</v>
      </c>
    </row>
    <row r="10" spans="1:35" x14ac:dyDescent="0.25">
      <c r="A10" s="22">
        <v>8</v>
      </c>
      <c r="B10" t="s">
        <v>134</v>
      </c>
      <c r="C10" s="23">
        <v>2</v>
      </c>
      <c r="D10" s="23">
        <v>1</v>
      </c>
      <c r="E10" s="23">
        <v>4</v>
      </c>
      <c r="F10" s="23">
        <v>2</v>
      </c>
      <c r="G10" s="23">
        <v>3</v>
      </c>
      <c r="H10" s="23">
        <v>3</v>
      </c>
      <c r="I10" s="23">
        <v>2</v>
      </c>
      <c r="J10" s="23">
        <v>2</v>
      </c>
      <c r="K10" s="23">
        <v>3</v>
      </c>
      <c r="L10" s="23">
        <v>2</v>
      </c>
      <c r="M10" s="23">
        <v>2</v>
      </c>
      <c r="N10" s="23">
        <v>4</v>
      </c>
      <c r="O10" s="23">
        <v>3</v>
      </c>
      <c r="P10" s="23">
        <v>2</v>
      </c>
      <c r="Q10" s="23">
        <v>2</v>
      </c>
      <c r="R10" s="23">
        <v>2</v>
      </c>
      <c r="S10" s="23">
        <v>3</v>
      </c>
      <c r="T10" s="23">
        <v>3</v>
      </c>
      <c r="U10" s="23">
        <v>3</v>
      </c>
      <c r="V10" s="23">
        <v>3</v>
      </c>
      <c r="W10" s="23">
        <v>1</v>
      </c>
      <c r="X10" s="23">
        <v>2</v>
      </c>
      <c r="Y10" s="23">
        <v>2</v>
      </c>
      <c r="Z10" s="23">
        <v>2</v>
      </c>
      <c r="AA10" s="23">
        <v>1</v>
      </c>
      <c r="AB10" s="23">
        <v>3</v>
      </c>
      <c r="AC10" s="23">
        <v>3</v>
      </c>
      <c r="AD10" s="23">
        <v>3</v>
      </c>
      <c r="AE10" s="23">
        <v>2</v>
      </c>
      <c r="AF10" s="23">
        <v>3</v>
      </c>
      <c r="AG10" s="23">
        <v>5</v>
      </c>
    </row>
    <row r="11" spans="1:35" x14ac:dyDescent="0.25">
      <c r="A11" s="22">
        <v>9</v>
      </c>
      <c r="B11" t="s">
        <v>129</v>
      </c>
      <c r="C11" s="23">
        <v>2</v>
      </c>
      <c r="D11" s="23">
        <v>1</v>
      </c>
      <c r="E11" s="23">
        <v>3</v>
      </c>
      <c r="F11" s="23">
        <v>2</v>
      </c>
      <c r="G11" s="23">
        <v>2</v>
      </c>
      <c r="H11" s="23">
        <v>2</v>
      </c>
      <c r="I11" s="23">
        <v>1</v>
      </c>
      <c r="J11" s="23">
        <v>3</v>
      </c>
      <c r="K11" s="23">
        <v>1</v>
      </c>
      <c r="L11" s="23">
        <v>2</v>
      </c>
      <c r="M11" s="23">
        <v>3</v>
      </c>
      <c r="N11" s="23">
        <v>3</v>
      </c>
      <c r="O11" s="23">
        <v>4</v>
      </c>
      <c r="P11" s="23">
        <v>3</v>
      </c>
      <c r="Q11" s="23">
        <v>3</v>
      </c>
      <c r="R11" s="23">
        <v>3</v>
      </c>
      <c r="S11" s="23">
        <v>2</v>
      </c>
      <c r="T11" s="23">
        <v>3</v>
      </c>
      <c r="U11" s="23">
        <v>2</v>
      </c>
      <c r="V11" s="23">
        <v>2</v>
      </c>
      <c r="W11" s="23">
        <v>1</v>
      </c>
      <c r="X11" s="23">
        <v>1</v>
      </c>
      <c r="Y11" s="23">
        <v>2</v>
      </c>
      <c r="Z11" s="23">
        <v>2</v>
      </c>
      <c r="AA11" s="23">
        <v>1</v>
      </c>
      <c r="AB11" s="23">
        <v>3</v>
      </c>
      <c r="AC11" s="23">
        <v>2</v>
      </c>
      <c r="AD11" s="23">
        <v>2</v>
      </c>
      <c r="AE11" s="23">
        <v>2</v>
      </c>
      <c r="AF11" s="23">
        <v>2</v>
      </c>
      <c r="AG11" s="23">
        <v>2</v>
      </c>
    </row>
    <row r="12" spans="1:35" x14ac:dyDescent="0.25">
      <c r="A12" s="22">
        <v>10</v>
      </c>
      <c r="B12" t="s">
        <v>132</v>
      </c>
      <c r="C12" s="23">
        <v>4</v>
      </c>
      <c r="D12" s="23">
        <v>4</v>
      </c>
      <c r="E12" s="23">
        <v>3</v>
      </c>
      <c r="F12" s="23">
        <v>4</v>
      </c>
      <c r="G12" s="23">
        <v>3</v>
      </c>
      <c r="H12" s="23">
        <v>4</v>
      </c>
      <c r="I12" s="23">
        <v>4</v>
      </c>
      <c r="J12" s="23">
        <v>4</v>
      </c>
      <c r="K12" s="23">
        <v>3</v>
      </c>
      <c r="L12" s="23">
        <v>4</v>
      </c>
      <c r="M12" s="23">
        <v>4</v>
      </c>
      <c r="N12" s="23">
        <v>4</v>
      </c>
      <c r="O12" s="23">
        <v>4</v>
      </c>
      <c r="P12" s="23">
        <v>3</v>
      </c>
      <c r="Q12" s="23">
        <v>3</v>
      </c>
      <c r="R12" s="23">
        <v>3</v>
      </c>
      <c r="S12" s="23">
        <v>4</v>
      </c>
      <c r="T12" s="23">
        <v>4</v>
      </c>
      <c r="U12" s="23">
        <v>3</v>
      </c>
      <c r="V12" s="23">
        <v>4</v>
      </c>
      <c r="W12" s="23">
        <v>4</v>
      </c>
      <c r="X12" s="23">
        <v>3</v>
      </c>
      <c r="Y12" s="23">
        <v>2</v>
      </c>
      <c r="Z12" s="23">
        <v>3</v>
      </c>
      <c r="AA12" s="23">
        <v>3</v>
      </c>
      <c r="AB12" s="23">
        <v>3</v>
      </c>
      <c r="AC12" s="23">
        <v>4</v>
      </c>
      <c r="AD12" s="23">
        <v>3</v>
      </c>
      <c r="AE12" s="23">
        <v>4</v>
      </c>
      <c r="AF12" s="23">
        <v>4</v>
      </c>
      <c r="AG12" s="23">
        <v>8</v>
      </c>
      <c r="AH12" t="s">
        <v>139</v>
      </c>
      <c r="AI12" t="s">
        <v>140</v>
      </c>
    </row>
    <row r="13" spans="1:35" x14ac:dyDescent="0.25">
      <c r="A13" s="22">
        <v>11</v>
      </c>
      <c r="B13" t="s">
        <v>133</v>
      </c>
      <c r="C13" s="23">
        <v>3</v>
      </c>
      <c r="D13" s="23">
        <v>4</v>
      </c>
      <c r="E13" s="23">
        <v>3</v>
      </c>
      <c r="F13" s="23">
        <v>3</v>
      </c>
      <c r="G13" s="23">
        <v>3</v>
      </c>
      <c r="H13" s="23">
        <v>3</v>
      </c>
      <c r="I13" s="23">
        <v>3</v>
      </c>
      <c r="J13" s="23">
        <v>4</v>
      </c>
      <c r="K13" s="23">
        <v>4</v>
      </c>
      <c r="L13" s="23">
        <v>3</v>
      </c>
      <c r="M13" s="23">
        <v>3</v>
      </c>
      <c r="N13" s="23">
        <v>4</v>
      </c>
      <c r="O13" s="23">
        <v>4</v>
      </c>
      <c r="P13" s="23">
        <v>3</v>
      </c>
      <c r="Q13" s="23">
        <v>3</v>
      </c>
      <c r="R13" s="23">
        <v>2</v>
      </c>
      <c r="S13" s="23">
        <v>3</v>
      </c>
      <c r="T13" s="23">
        <v>3</v>
      </c>
      <c r="U13" s="23">
        <v>3</v>
      </c>
      <c r="V13" s="23">
        <v>4</v>
      </c>
      <c r="W13" s="23">
        <v>3</v>
      </c>
      <c r="X13" s="23">
        <v>3</v>
      </c>
      <c r="Y13" s="23">
        <v>4</v>
      </c>
      <c r="Z13" s="23">
        <v>3</v>
      </c>
      <c r="AA13" s="23">
        <v>3</v>
      </c>
      <c r="AB13" s="23">
        <v>3</v>
      </c>
      <c r="AC13" s="23">
        <v>4</v>
      </c>
      <c r="AD13" s="23">
        <v>3</v>
      </c>
      <c r="AE13" s="23">
        <v>4</v>
      </c>
      <c r="AF13" s="23">
        <v>4</v>
      </c>
      <c r="AG13" s="23">
        <v>7</v>
      </c>
    </row>
    <row r="14" spans="1:35" x14ac:dyDescent="0.25">
      <c r="A14" s="22">
        <v>12</v>
      </c>
      <c r="B14" t="s">
        <v>134</v>
      </c>
      <c r="C14" s="23">
        <v>4</v>
      </c>
      <c r="D14" s="23">
        <v>3</v>
      </c>
      <c r="E14" s="23">
        <v>3</v>
      </c>
      <c r="F14" s="23">
        <v>4</v>
      </c>
      <c r="G14" s="23">
        <v>4</v>
      </c>
      <c r="H14" s="23">
        <v>3</v>
      </c>
      <c r="I14" s="23">
        <v>4</v>
      </c>
      <c r="J14" s="23">
        <v>2</v>
      </c>
      <c r="K14" s="23">
        <v>3</v>
      </c>
      <c r="L14" s="23">
        <v>4</v>
      </c>
      <c r="M14" s="23">
        <v>3</v>
      </c>
      <c r="N14" s="23">
        <v>4</v>
      </c>
      <c r="O14" s="23">
        <v>4</v>
      </c>
      <c r="P14" s="23">
        <v>3</v>
      </c>
      <c r="Q14" s="23">
        <v>4</v>
      </c>
      <c r="R14" s="23">
        <v>3</v>
      </c>
      <c r="S14" s="23">
        <v>3</v>
      </c>
      <c r="T14" s="23">
        <v>3</v>
      </c>
      <c r="U14" s="23">
        <v>3</v>
      </c>
      <c r="V14" s="23">
        <v>3</v>
      </c>
      <c r="W14" s="23">
        <v>3</v>
      </c>
      <c r="X14" s="23">
        <v>3</v>
      </c>
      <c r="Y14" s="23">
        <v>3</v>
      </c>
      <c r="Z14" s="23">
        <v>3</v>
      </c>
      <c r="AA14" s="23">
        <v>4</v>
      </c>
      <c r="AB14" s="23">
        <v>3</v>
      </c>
      <c r="AC14" s="23">
        <v>4</v>
      </c>
      <c r="AD14" s="23">
        <v>3</v>
      </c>
      <c r="AE14" s="23">
        <v>4</v>
      </c>
      <c r="AF14" s="23">
        <v>3</v>
      </c>
      <c r="AG14" s="23">
        <v>9</v>
      </c>
    </row>
    <row r="15" spans="1:35" x14ac:dyDescent="0.25">
      <c r="A15" s="22">
        <v>13</v>
      </c>
      <c r="B15" t="s">
        <v>129</v>
      </c>
      <c r="C15" s="23">
        <v>3</v>
      </c>
      <c r="D15" s="23">
        <v>3</v>
      </c>
      <c r="E15" s="23">
        <v>2</v>
      </c>
      <c r="F15" s="23">
        <v>3</v>
      </c>
      <c r="G15" s="23">
        <v>2</v>
      </c>
      <c r="H15" s="23">
        <v>4</v>
      </c>
      <c r="I15" s="23">
        <v>3</v>
      </c>
      <c r="J15" s="23">
        <v>3</v>
      </c>
      <c r="K15" s="23">
        <v>2</v>
      </c>
      <c r="L15" s="23">
        <v>2</v>
      </c>
      <c r="M15" s="23">
        <v>2</v>
      </c>
      <c r="N15" s="23">
        <v>3</v>
      </c>
      <c r="O15" s="23">
        <v>4</v>
      </c>
      <c r="P15" s="23">
        <v>4</v>
      </c>
      <c r="Q15" s="23">
        <v>3</v>
      </c>
      <c r="R15" s="23">
        <v>3</v>
      </c>
      <c r="S15" s="23">
        <v>3</v>
      </c>
      <c r="T15" s="23">
        <v>3</v>
      </c>
      <c r="U15" s="23">
        <v>3</v>
      </c>
      <c r="V15" s="23">
        <v>4</v>
      </c>
      <c r="W15" s="23">
        <v>2</v>
      </c>
      <c r="X15" s="23">
        <v>1</v>
      </c>
      <c r="Y15" s="23">
        <v>2</v>
      </c>
      <c r="Z15" s="23">
        <v>2</v>
      </c>
      <c r="AA15" s="23">
        <v>3</v>
      </c>
      <c r="AB15" s="23">
        <v>4</v>
      </c>
      <c r="AC15" s="23">
        <v>3</v>
      </c>
      <c r="AD15" s="23">
        <v>2</v>
      </c>
      <c r="AE15" s="23">
        <v>2</v>
      </c>
      <c r="AF15" s="23">
        <v>3</v>
      </c>
      <c r="AG15" s="23">
        <v>8</v>
      </c>
      <c r="AH15" t="s">
        <v>130</v>
      </c>
      <c r="AI15" t="s">
        <v>131</v>
      </c>
    </row>
    <row r="16" spans="1:35" x14ac:dyDescent="0.25">
      <c r="A16" s="22">
        <v>14</v>
      </c>
      <c r="B16" t="s">
        <v>132</v>
      </c>
      <c r="C16" s="23">
        <v>3</v>
      </c>
      <c r="D16" s="23">
        <v>3</v>
      </c>
      <c r="E16" s="23">
        <v>3</v>
      </c>
      <c r="F16" s="23">
        <v>3</v>
      </c>
      <c r="G16" s="23">
        <v>3</v>
      </c>
      <c r="H16" s="23">
        <v>3</v>
      </c>
      <c r="I16" s="23">
        <v>3</v>
      </c>
      <c r="J16" s="23">
        <v>4</v>
      </c>
      <c r="K16" s="23">
        <v>3</v>
      </c>
      <c r="L16" s="23">
        <v>3</v>
      </c>
      <c r="M16" s="23">
        <v>4</v>
      </c>
      <c r="N16" s="23">
        <v>3</v>
      </c>
      <c r="O16" s="23">
        <v>3</v>
      </c>
      <c r="P16" s="23">
        <v>4</v>
      </c>
      <c r="Q16" s="23">
        <v>4</v>
      </c>
      <c r="R16" s="23">
        <v>3</v>
      </c>
      <c r="S16" s="23">
        <v>2</v>
      </c>
      <c r="T16" s="23">
        <v>3</v>
      </c>
      <c r="U16" s="23">
        <v>4</v>
      </c>
      <c r="V16" s="23">
        <v>4</v>
      </c>
      <c r="W16" s="23">
        <v>4</v>
      </c>
      <c r="X16" s="23">
        <v>3</v>
      </c>
      <c r="Y16" s="23">
        <v>3</v>
      </c>
      <c r="Z16" s="23">
        <v>4</v>
      </c>
      <c r="AA16" s="23">
        <v>4</v>
      </c>
      <c r="AB16" s="23">
        <v>4</v>
      </c>
      <c r="AC16" s="23">
        <v>2</v>
      </c>
      <c r="AD16" s="23">
        <v>3</v>
      </c>
      <c r="AE16" s="23">
        <v>4</v>
      </c>
      <c r="AF16" s="23">
        <v>3</v>
      </c>
      <c r="AG16" s="23">
        <v>6</v>
      </c>
    </row>
    <row r="17" spans="1:35" x14ac:dyDescent="0.25">
      <c r="A17" s="22">
        <v>15</v>
      </c>
      <c r="B17" t="s">
        <v>133</v>
      </c>
      <c r="C17" s="23">
        <v>2</v>
      </c>
      <c r="D17" s="23">
        <v>3</v>
      </c>
      <c r="E17" s="23">
        <v>3</v>
      </c>
      <c r="F17" s="23">
        <v>4</v>
      </c>
      <c r="G17" s="23">
        <v>2</v>
      </c>
      <c r="H17" s="23">
        <v>2</v>
      </c>
      <c r="I17" s="23">
        <v>3</v>
      </c>
      <c r="J17" s="23">
        <v>2</v>
      </c>
      <c r="K17" s="23">
        <v>2</v>
      </c>
      <c r="L17" s="23">
        <v>1</v>
      </c>
      <c r="M17" s="23">
        <v>4</v>
      </c>
      <c r="N17" s="23">
        <v>3</v>
      </c>
      <c r="O17" s="23">
        <v>2</v>
      </c>
      <c r="P17" s="23">
        <v>3</v>
      </c>
      <c r="Q17" s="23">
        <v>3</v>
      </c>
      <c r="R17" s="23">
        <v>2</v>
      </c>
      <c r="S17" s="23">
        <v>3</v>
      </c>
      <c r="T17" s="23">
        <v>3</v>
      </c>
      <c r="U17" s="23">
        <v>3</v>
      </c>
      <c r="V17" s="23">
        <v>3</v>
      </c>
      <c r="W17" s="23">
        <v>2</v>
      </c>
      <c r="X17" s="23">
        <v>3</v>
      </c>
      <c r="Y17" s="23">
        <v>3</v>
      </c>
      <c r="Z17" s="23">
        <v>2</v>
      </c>
      <c r="AA17" s="23">
        <v>3</v>
      </c>
      <c r="AB17" s="23">
        <v>3</v>
      </c>
      <c r="AC17" s="23">
        <v>3</v>
      </c>
      <c r="AD17" s="23">
        <v>3</v>
      </c>
      <c r="AE17" s="23">
        <v>3</v>
      </c>
      <c r="AF17" s="23">
        <v>3</v>
      </c>
      <c r="AG17" s="23">
        <v>5</v>
      </c>
    </row>
    <row r="18" spans="1:35" x14ac:dyDescent="0.25">
      <c r="A18" s="22">
        <v>16</v>
      </c>
      <c r="B18" t="s">
        <v>134</v>
      </c>
      <c r="C18" s="23">
        <v>3</v>
      </c>
      <c r="D18" s="23">
        <v>3</v>
      </c>
      <c r="E18" s="23">
        <v>4</v>
      </c>
      <c r="F18" s="23">
        <v>4</v>
      </c>
      <c r="G18" s="23">
        <v>2</v>
      </c>
      <c r="H18" s="23">
        <v>3</v>
      </c>
      <c r="I18" s="23">
        <v>3</v>
      </c>
      <c r="J18" s="23">
        <v>2</v>
      </c>
      <c r="K18" s="23">
        <v>3</v>
      </c>
      <c r="L18" s="23">
        <v>4</v>
      </c>
      <c r="M18" s="23">
        <v>4</v>
      </c>
      <c r="N18" s="23">
        <v>3</v>
      </c>
      <c r="O18" s="23">
        <v>4</v>
      </c>
      <c r="P18" s="23">
        <v>3</v>
      </c>
      <c r="Q18" s="23">
        <v>4</v>
      </c>
      <c r="R18" s="23">
        <v>4</v>
      </c>
      <c r="S18" s="23">
        <v>4</v>
      </c>
      <c r="T18" s="23">
        <v>3</v>
      </c>
      <c r="U18" s="23">
        <v>3</v>
      </c>
      <c r="V18" s="23">
        <v>3</v>
      </c>
      <c r="W18" s="23">
        <v>4</v>
      </c>
      <c r="X18" s="23">
        <v>2</v>
      </c>
      <c r="Y18" s="23">
        <v>2</v>
      </c>
      <c r="Z18" s="23">
        <v>2</v>
      </c>
      <c r="AA18" s="23">
        <v>3</v>
      </c>
      <c r="AB18" s="23">
        <v>3</v>
      </c>
      <c r="AC18" s="23">
        <v>3</v>
      </c>
      <c r="AD18" s="23">
        <v>3</v>
      </c>
      <c r="AE18" s="23">
        <v>4</v>
      </c>
      <c r="AF18" s="23">
        <v>3</v>
      </c>
      <c r="AG18" s="23">
        <v>6</v>
      </c>
      <c r="AH18" t="s">
        <v>135</v>
      </c>
      <c r="AI18" t="s">
        <v>136</v>
      </c>
    </row>
    <row r="19" spans="1:35" x14ac:dyDescent="0.25">
      <c r="A19" s="22">
        <v>17</v>
      </c>
      <c r="B19" t="s">
        <v>129</v>
      </c>
      <c r="C19" s="23">
        <v>2</v>
      </c>
      <c r="D19" s="23">
        <v>2</v>
      </c>
      <c r="E19" s="23">
        <v>3</v>
      </c>
      <c r="F19" s="23">
        <v>2</v>
      </c>
      <c r="G19" s="23">
        <v>1</v>
      </c>
      <c r="H19" s="23">
        <v>2</v>
      </c>
      <c r="I19" s="23">
        <v>2</v>
      </c>
      <c r="J19" s="23">
        <v>3</v>
      </c>
      <c r="K19" s="23">
        <v>2</v>
      </c>
      <c r="L19" s="23">
        <v>2</v>
      </c>
      <c r="M19" s="23">
        <v>3</v>
      </c>
      <c r="N19" s="23">
        <v>3</v>
      </c>
      <c r="O19" s="23">
        <v>2</v>
      </c>
      <c r="P19" s="23">
        <v>3</v>
      </c>
      <c r="Q19" s="23">
        <v>3</v>
      </c>
      <c r="R19" s="23">
        <v>2</v>
      </c>
      <c r="S19" s="23">
        <v>2</v>
      </c>
      <c r="T19" s="23">
        <v>3</v>
      </c>
      <c r="U19" s="23">
        <v>3</v>
      </c>
      <c r="V19" s="23">
        <v>2</v>
      </c>
      <c r="W19" s="23">
        <v>2</v>
      </c>
      <c r="X19" s="23">
        <v>2</v>
      </c>
      <c r="Y19" s="23">
        <v>2</v>
      </c>
      <c r="Z19" s="23">
        <v>1</v>
      </c>
      <c r="AA19" s="23">
        <v>3</v>
      </c>
      <c r="AB19" s="23">
        <v>2</v>
      </c>
      <c r="AC19" s="23">
        <v>3</v>
      </c>
      <c r="AD19" s="23">
        <v>3</v>
      </c>
      <c r="AE19" s="23">
        <v>2</v>
      </c>
      <c r="AF19" s="23">
        <v>3</v>
      </c>
      <c r="AG19" s="23">
        <v>4</v>
      </c>
    </row>
    <row r="20" spans="1:35" x14ac:dyDescent="0.25">
      <c r="A20" s="22">
        <v>18</v>
      </c>
      <c r="B20" t="s">
        <v>132</v>
      </c>
      <c r="C20" s="23">
        <v>2</v>
      </c>
      <c r="D20" s="23">
        <v>3</v>
      </c>
      <c r="E20" s="23">
        <v>3</v>
      </c>
      <c r="F20" s="23">
        <v>3</v>
      </c>
      <c r="G20" s="23">
        <v>4</v>
      </c>
      <c r="H20" s="23">
        <v>2</v>
      </c>
      <c r="I20" s="23">
        <v>2</v>
      </c>
      <c r="J20" s="23">
        <v>2</v>
      </c>
      <c r="K20" s="23">
        <v>2</v>
      </c>
      <c r="L20" s="23">
        <v>3</v>
      </c>
      <c r="M20" s="23">
        <v>3</v>
      </c>
      <c r="N20" s="23">
        <v>1</v>
      </c>
      <c r="O20" s="23">
        <v>2</v>
      </c>
      <c r="P20" s="23">
        <v>2</v>
      </c>
      <c r="Q20" s="23">
        <v>3</v>
      </c>
      <c r="R20" s="23">
        <v>3</v>
      </c>
      <c r="S20" s="23">
        <v>2</v>
      </c>
      <c r="T20" s="23">
        <v>2</v>
      </c>
      <c r="U20" s="23">
        <v>3</v>
      </c>
      <c r="V20" s="23">
        <v>4</v>
      </c>
      <c r="W20" s="23">
        <v>3</v>
      </c>
      <c r="X20" s="23">
        <v>3</v>
      </c>
      <c r="Y20" s="23">
        <v>2</v>
      </c>
      <c r="Z20" s="23">
        <v>2</v>
      </c>
      <c r="AA20" s="23">
        <v>1</v>
      </c>
      <c r="AB20" s="23">
        <v>2</v>
      </c>
      <c r="AC20" s="23">
        <v>1</v>
      </c>
      <c r="AD20" s="23">
        <v>3</v>
      </c>
      <c r="AE20" s="23">
        <v>3</v>
      </c>
      <c r="AF20" s="23">
        <v>2</v>
      </c>
      <c r="AG20" s="23">
        <v>6</v>
      </c>
    </row>
    <row r="21" spans="1:35" x14ac:dyDescent="0.25">
      <c r="A21" s="22">
        <v>19</v>
      </c>
      <c r="B21" t="s">
        <v>133</v>
      </c>
      <c r="C21" s="23">
        <v>3</v>
      </c>
      <c r="D21" s="23">
        <v>2</v>
      </c>
      <c r="E21" s="23">
        <v>2</v>
      </c>
      <c r="F21" s="23">
        <v>1</v>
      </c>
      <c r="G21" s="23">
        <v>2</v>
      </c>
      <c r="H21" s="23">
        <v>2</v>
      </c>
      <c r="I21" s="23">
        <v>3</v>
      </c>
      <c r="J21" s="23">
        <v>4</v>
      </c>
      <c r="K21" s="23">
        <v>2</v>
      </c>
      <c r="L21" s="23">
        <v>1</v>
      </c>
      <c r="M21" s="23">
        <v>3</v>
      </c>
      <c r="N21" s="23">
        <v>3</v>
      </c>
      <c r="O21" s="23">
        <v>2</v>
      </c>
      <c r="P21" s="23">
        <v>2</v>
      </c>
      <c r="Q21" s="23">
        <v>4</v>
      </c>
      <c r="R21" s="23">
        <v>3</v>
      </c>
      <c r="S21" s="23">
        <v>2</v>
      </c>
      <c r="T21" s="23">
        <v>3</v>
      </c>
      <c r="U21" s="23">
        <v>1</v>
      </c>
      <c r="V21" s="23">
        <v>3</v>
      </c>
      <c r="W21" s="23">
        <v>4</v>
      </c>
      <c r="X21" s="23">
        <v>1</v>
      </c>
      <c r="Y21" s="23">
        <v>3</v>
      </c>
      <c r="Z21" s="23">
        <v>2</v>
      </c>
      <c r="AA21" s="23">
        <v>2</v>
      </c>
      <c r="AB21" s="23">
        <v>3</v>
      </c>
      <c r="AC21" s="23">
        <v>4</v>
      </c>
      <c r="AD21" s="23">
        <v>2</v>
      </c>
      <c r="AE21" s="23">
        <v>2</v>
      </c>
      <c r="AF21" s="23">
        <v>2</v>
      </c>
      <c r="AG21" s="23">
        <v>3</v>
      </c>
      <c r="AH21" t="s">
        <v>137</v>
      </c>
      <c r="AI21" t="s">
        <v>138</v>
      </c>
    </row>
    <row r="22" spans="1:35" x14ac:dyDescent="0.25">
      <c r="A22" s="22">
        <v>20</v>
      </c>
      <c r="B22" t="s">
        <v>134</v>
      </c>
      <c r="C22" s="23">
        <v>4</v>
      </c>
      <c r="D22" s="23">
        <v>3</v>
      </c>
      <c r="E22" s="23">
        <v>3</v>
      </c>
      <c r="F22" s="23">
        <v>4</v>
      </c>
      <c r="G22" s="23">
        <v>3</v>
      </c>
      <c r="H22" s="23">
        <v>4</v>
      </c>
      <c r="I22" s="23">
        <v>4</v>
      </c>
      <c r="J22" s="23">
        <v>4</v>
      </c>
      <c r="K22" s="23">
        <v>4</v>
      </c>
      <c r="L22" s="23">
        <v>2</v>
      </c>
      <c r="M22" s="23">
        <v>4</v>
      </c>
      <c r="N22" s="23">
        <v>4</v>
      </c>
      <c r="O22" s="23">
        <v>4</v>
      </c>
      <c r="P22" s="23">
        <v>4</v>
      </c>
      <c r="Q22" s="23">
        <v>4</v>
      </c>
      <c r="R22" s="23">
        <v>4</v>
      </c>
      <c r="S22" s="23">
        <v>4</v>
      </c>
      <c r="T22" s="23">
        <v>4</v>
      </c>
      <c r="U22" s="23">
        <v>4</v>
      </c>
      <c r="V22" s="23">
        <v>3</v>
      </c>
      <c r="W22" s="23">
        <v>3</v>
      </c>
      <c r="X22" s="23">
        <v>2</v>
      </c>
      <c r="Y22" s="23">
        <v>4</v>
      </c>
      <c r="Z22" s="23">
        <v>3</v>
      </c>
      <c r="AA22" s="23">
        <v>4</v>
      </c>
      <c r="AB22" s="23">
        <v>4</v>
      </c>
      <c r="AC22" s="23">
        <v>4</v>
      </c>
      <c r="AD22" s="23">
        <v>4</v>
      </c>
      <c r="AE22" s="23">
        <v>3</v>
      </c>
      <c r="AF22" s="23">
        <v>3</v>
      </c>
      <c r="AG22" s="23">
        <v>10</v>
      </c>
    </row>
    <row r="23" spans="1:35" x14ac:dyDescent="0.25">
      <c r="A23" s="22">
        <v>21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</row>
    <row r="24" spans="1:35" x14ac:dyDescent="0.25">
      <c r="A24" s="22">
        <v>22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</row>
    <row r="25" spans="1:35" x14ac:dyDescent="0.25">
      <c r="A25" s="22">
        <v>23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</row>
    <row r="26" spans="1:35" x14ac:dyDescent="0.25">
      <c r="A26" s="22">
        <v>24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</row>
    <row r="27" spans="1:35" x14ac:dyDescent="0.25">
      <c r="A27" s="22">
        <v>25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</row>
    <row r="28" spans="1:35" x14ac:dyDescent="0.25">
      <c r="A28" s="22">
        <v>26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 spans="1:35" x14ac:dyDescent="0.25">
      <c r="A29" s="22">
        <v>27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 spans="1:35" x14ac:dyDescent="0.25">
      <c r="A30" s="22">
        <v>28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</row>
    <row r="31" spans="1:35" x14ac:dyDescent="0.25">
      <c r="A31" s="22">
        <v>29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</row>
    <row r="32" spans="1:35" x14ac:dyDescent="0.25">
      <c r="A32" s="22">
        <v>30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</row>
    <row r="33" spans="1:33" x14ac:dyDescent="0.25">
      <c r="A33" s="22">
        <v>31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</row>
    <row r="34" spans="1:33" x14ac:dyDescent="0.25">
      <c r="A34" s="22">
        <v>32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</row>
    <row r="35" spans="1:33" x14ac:dyDescent="0.25">
      <c r="A35" s="22">
        <v>33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</row>
    <row r="36" spans="1:33" x14ac:dyDescent="0.25">
      <c r="A36" s="22">
        <v>34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</row>
    <row r="37" spans="1:33" x14ac:dyDescent="0.25">
      <c r="A37" s="22">
        <v>35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</row>
    <row r="38" spans="1:33" x14ac:dyDescent="0.25">
      <c r="A38" s="22">
        <v>36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 spans="1:33" x14ac:dyDescent="0.25">
      <c r="A39" s="22">
        <v>37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</row>
    <row r="40" spans="1:33" x14ac:dyDescent="0.25">
      <c r="A40" s="22">
        <v>38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 spans="1:33" x14ac:dyDescent="0.25">
      <c r="A41" s="22">
        <v>39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 spans="1:33" x14ac:dyDescent="0.25">
      <c r="A42" s="22">
        <v>40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</row>
    <row r="43" spans="1:33" x14ac:dyDescent="0.25">
      <c r="A43" s="22">
        <v>41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3" x14ac:dyDescent="0.25">
      <c r="A44" s="22">
        <v>42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3" x14ac:dyDescent="0.25">
      <c r="A45" s="22">
        <v>43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 x14ac:dyDescent="0.25">
      <c r="A46" s="22">
        <v>44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 spans="1:33" x14ac:dyDescent="0.25">
      <c r="A47" s="22">
        <v>45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 spans="1:33" x14ac:dyDescent="0.25">
      <c r="A48" s="22">
        <v>46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  <row r="49" spans="1:33" x14ac:dyDescent="0.25">
      <c r="A49" s="22">
        <v>47</v>
      </c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 spans="1:33" x14ac:dyDescent="0.25">
      <c r="A50" s="22">
        <v>48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 spans="1:33" x14ac:dyDescent="0.25">
      <c r="A51" s="22">
        <v>49</v>
      </c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</row>
    <row r="52" spans="1:33" x14ac:dyDescent="0.25">
      <c r="A52" s="22">
        <v>50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</row>
    <row r="53" spans="1:33" x14ac:dyDescent="0.25">
      <c r="A53" s="22">
        <v>51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</row>
    <row r="54" spans="1:33" x14ac:dyDescent="0.25">
      <c r="A54" s="22">
        <v>52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</row>
    <row r="55" spans="1:33" x14ac:dyDescent="0.25">
      <c r="A55" s="22">
        <v>53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 spans="1:33" x14ac:dyDescent="0.25">
      <c r="A56" s="22">
        <v>54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 spans="1:33" x14ac:dyDescent="0.25">
      <c r="A57" s="22">
        <v>55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 spans="1:33" x14ac:dyDescent="0.25">
      <c r="A58" s="22">
        <v>56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</row>
    <row r="59" spans="1:33" x14ac:dyDescent="0.25">
      <c r="A59" s="22">
        <v>57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</row>
    <row r="60" spans="1:33" x14ac:dyDescent="0.25">
      <c r="A60" s="22">
        <v>58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</row>
    <row r="61" spans="1:33" x14ac:dyDescent="0.25">
      <c r="A61" s="22">
        <v>59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62" spans="1:33" x14ac:dyDescent="0.25">
      <c r="A62" s="22">
        <v>60</v>
      </c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</row>
    <row r="63" spans="1:33" x14ac:dyDescent="0.25">
      <c r="A63" s="22">
        <v>61</v>
      </c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</row>
    <row r="64" spans="1:33" x14ac:dyDescent="0.25">
      <c r="A64" s="22">
        <v>62</v>
      </c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</row>
    <row r="65" spans="1:33" x14ac:dyDescent="0.25">
      <c r="A65" s="22">
        <v>63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</row>
    <row r="66" spans="1:33" x14ac:dyDescent="0.25">
      <c r="A66" s="22">
        <v>64</v>
      </c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</row>
    <row r="67" spans="1:33" x14ac:dyDescent="0.25">
      <c r="A67" s="22">
        <v>65</v>
      </c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</row>
    <row r="68" spans="1:33" x14ac:dyDescent="0.25">
      <c r="A68" s="22">
        <v>66</v>
      </c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</row>
    <row r="69" spans="1:33" x14ac:dyDescent="0.25">
      <c r="A69" s="22">
        <v>67</v>
      </c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</row>
    <row r="70" spans="1:33" x14ac:dyDescent="0.25">
      <c r="A70" s="22">
        <v>68</v>
      </c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</row>
    <row r="71" spans="1:33" x14ac:dyDescent="0.25">
      <c r="A71" s="22">
        <v>69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</row>
    <row r="72" spans="1:33" x14ac:dyDescent="0.25">
      <c r="A72" s="22">
        <v>70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</row>
    <row r="73" spans="1:33" x14ac:dyDescent="0.25">
      <c r="A73" s="22">
        <v>71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</row>
    <row r="74" spans="1:33" x14ac:dyDescent="0.25">
      <c r="A74" s="22">
        <v>72</v>
      </c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 spans="1:33" x14ac:dyDescent="0.25">
      <c r="A75" s="22">
        <v>73</v>
      </c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spans="1:33" x14ac:dyDescent="0.25">
      <c r="A76" s="22">
        <v>74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spans="1:33" x14ac:dyDescent="0.25">
      <c r="A77" s="22">
        <v>75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spans="1:33" x14ac:dyDescent="0.25">
      <c r="A78" s="22">
        <v>76</v>
      </c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 spans="1:33" x14ac:dyDescent="0.25">
      <c r="A79" s="22">
        <v>77</v>
      </c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</row>
    <row r="80" spans="1:33" x14ac:dyDescent="0.25">
      <c r="A80" s="22">
        <v>78</v>
      </c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</row>
    <row r="81" spans="1:33" x14ac:dyDescent="0.25">
      <c r="A81" s="22">
        <v>79</v>
      </c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</row>
    <row r="82" spans="1:33" x14ac:dyDescent="0.25">
      <c r="A82" s="22">
        <v>80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</row>
    <row r="83" spans="1:33" x14ac:dyDescent="0.25">
      <c r="A83" s="22">
        <v>81</v>
      </c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</row>
    <row r="84" spans="1:33" x14ac:dyDescent="0.25">
      <c r="A84" s="22">
        <v>82</v>
      </c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</row>
    <row r="85" spans="1:33" x14ac:dyDescent="0.25">
      <c r="A85" s="22">
        <v>83</v>
      </c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</row>
    <row r="86" spans="1:33" x14ac:dyDescent="0.25">
      <c r="A86" s="22">
        <v>84</v>
      </c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spans="1:33" x14ac:dyDescent="0.25">
      <c r="A87" s="22">
        <v>85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</row>
    <row r="88" spans="1:33" x14ac:dyDescent="0.25">
      <c r="A88" s="22">
        <v>86</v>
      </c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</row>
    <row r="89" spans="1:33" x14ac:dyDescent="0.25">
      <c r="A89" s="22">
        <v>87</v>
      </c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</row>
    <row r="90" spans="1:33" x14ac:dyDescent="0.25">
      <c r="A90" s="22">
        <v>88</v>
      </c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</row>
    <row r="91" spans="1:33" x14ac:dyDescent="0.25">
      <c r="A91" s="22">
        <v>89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</row>
    <row r="92" spans="1:33" x14ac:dyDescent="0.25">
      <c r="A92" s="22">
        <v>90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</row>
    <row r="93" spans="1:33" x14ac:dyDescent="0.25">
      <c r="A93" s="22">
        <v>91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</row>
    <row r="94" spans="1:33" x14ac:dyDescent="0.25">
      <c r="A94" s="22">
        <v>92</v>
      </c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</row>
    <row r="95" spans="1:33" x14ac:dyDescent="0.25">
      <c r="A95" s="22">
        <v>93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</row>
    <row r="96" spans="1:33" x14ac:dyDescent="0.25">
      <c r="A96" s="22">
        <v>94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  <row r="97" spans="1:33" x14ac:dyDescent="0.25">
      <c r="A97" s="22">
        <v>95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</row>
    <row r="98" spans="1:33" x14ac:dyDescent="0.25">
      <c r="A98" s="22">
        <v>96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</row>
    <row r="99" spans="1:33" x14ac:dyDescent="0.25">
      <c r="A99" s="22">
        <v>97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</row>
    <row r="100" spans="1:33" x14ac:dyDescent="0.25">
      <c r="A100" s="22">
        <v>98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</row>
    <row r="101" spans="1:33" x14ac:dyDescent="0.25">
      <c r="A101" s="22">
        <v>99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 spans="1:33" x14ac:dyDescent="0.25">
      <c r="A102" s="22">
        <v>100</v>
      </c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</row>
    <row r="103" spans="1:33" x14ac:dyDescent="0.25">
      <c r="A103" s="22">
        <v>101</v>
      </c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</row>
    <row r="104" spans="1:33" x14ac:dyDescent="0.25">
      <c r="A104" s="22">
        <v>102</v>
      </c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</row>
    <row r="105" spans="1:33" x14ac:dyDescent="0.25">
      <c r="A105" s="22">
        <v>103</v>
      </c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</row>
    <row r="106" spans="1:33" x14ac:dyDescent="0.25">
      <c r="A106" s="22">
        <v>104</v>
      </c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</row>
    <row r="107" spans="1:33" x14ac:dyDescent="0.25">
      <c r="A107" s="22">
        <v>105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</row>
    <row r="108" spans="1:33" x14ac:dyDescent="0.25">
      <c r="A108" s="22">
        <v>106</v>
      </c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</row>
    <row r="109" spans="1:33" x14ac:dyDescent="0.25">
      <c r="A109" s="22">
        <v>107</v>
      </c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</row>
    <row r="110" spans="1:33" x14ac:dyDescent="0.25">
      <c r="A110" s="22">
        <v>108</v>
      </c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</row>
    <row r="111" spans="1:33" x14ac:dyDescent="0.25">
      <c r="A111" s="22">
        <v>109</v>
      </c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</row>
    <row r="112" spans="1:33" x14ac:dyDescent="0.25">
      <c r="A112" s="22">
        <v>110</v>
      </c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</row>
    <row r="113" spans="1:33" x14ac:dyDescent="0.25">
      <c r="A113" s="22">
        <v>111</v>
      </c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</row>
    <row r="114" spans="1:33" x14ac:dyDescent="0.25">
      <c r="A114" s="22">
        <v>112</v>
      </c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</row>
    <row r="115" spans="1:33" x14ac:dyDescent="0.25">
      <c r="A115" s="22">
        <v>113</v>
      </c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</row>
    <row r="116" spans="1:33" x14ac:dyDescent="0.25">
      <c r="A116" s="22">
        <v>114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</row>
    <row r="117" spans="1:33" x14ac:dyDescent="0.25">
      <c r="A117" s="22">
        <v>115</v>
      </c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</row>
    <row r="118" spans="1:33" x14ac:dyDescent="0.25">
      <c r="A118" s="22">
        <v>116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</row>
    <row r="119" spans="1:33" x14ac:dyDescent="0.25">
      <c r="A119" s="22">
        <v>117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</row>
    <row r="120" spans="1:33" x14ac:dyDescent="0.25">
      <c r="A120" s="22">
        <v>118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</row>
    <row r="121" spans="1:33" x14ac:dyDescent="0.25">
      <c r="A121" s="22">
        <v>119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</row>
    <row r="122" spans="1:33" x14ac:dyDescent="0.25">
      <c r="A122" s="22">
        <v>120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</row>
    <row r="123" spans="1:33" x14ac:dyDescent="0.25">
      <c r="A123" s="22">
        <v>121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</row>
    <row r="124" spans="1:33" x14ac:dyDescent="0.25">
      <c r="A124" s="22">
        <v>122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</row>
    <row r="125" spans="1:33" x14ac:dyDescent="0.25">
      <c r="A125" s="22">
        <v>123</v>
      </c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</row>
    <row r="126" spans="1:33" x14ac:dyDescent="0.25">
      <c r="A126" s="22">
        <v>124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</row>
    <row r="127" spans="1:33" x14ac:dyDescent="0.25">
      <c r="A127" s="22">
        <v>125</v>
      </c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</row>
    <row r="128" spans="1:33" x14ac:dyDescent="0.25">
      <c r="A128" s="22">
        <v>126</v>
      </c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</row>
    <row r="129" spans="1:33" x14ac:dyDescent="0.25">
      <c r="A129" s="22">
        <v>127</v>
      </c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</row>
    <row r="130" spans="1:33" x14ac:dyDescent="0.25">
      <c r="A130" s="22">
        <v>128</v>
      </c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</row>
    <row r="131" spans="1:33" x14ac:dyDescent="0.25">
      <c r="A131" s="22">
        <v>129</v>
      </c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</row>
    <row r="132" spans="1:33" x14ac:dyDescent="0.25">
      <c r="A132" s="22">
        <v>130</v>
      </c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</row>
    <row r="133" spans="1:33" x14ac:dyDescent="0.25">
      <c r="A133" s="22">
        <v>131</v>
      </c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</row>
    <row r="134" spans="1:33" x14ac:dyDescent="0.25">
      <c r="A134" s="22">
        <v>132</v>
      </c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</row>
    <row r="135" spans="1:33" x14ac:dyDescent="0.25">
      <c r="A135" s="22">
        <v>133</v>
      </c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</row>
    <row r="136" spans="1:33" x14ac:dyDescent="0.25">
      <c r="A136" s="22">
        <v>134</v>
      </c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</row>
    <row r="137" spans="1:33" x14ac:dyDescent="0.25">
      <c r="A137" s="22">
        <v>135</v>
      </c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</row>
    <row r="138" spans="1:33" x14ac:dyDescent="0.25">
      <c r="A138" s="22">
        <v>136</v>
      </c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</row>
    <row r="139" spans="1:33" x14ac:dyDescent="0.25">
      <c r="A139" s="22">
        <v>137</v>
      </c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</row>
    <row r="140" spans="1:33" x14ac:dyDescent="0.25">
      <c r="A140" s="22">
        <v>138</v>
      </c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</row>
    <row r="141" spans="1:33" x14ac:dyDescent="0.25">
      <c r="A141" s="22">
        <v>139</v>
      </c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</row>
    <row r="142" spans="1:33" x14ac:dyDescent="0.25">
      <c r="A142" s="22">
        <v>140</v>
      </c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</row>
    <row r="143" spans="1:33" x14ac:dyDescent="0.25">
      <c r="A143" s="22">
        <v>141</v>
      </c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</row>
    <row r="144" spans="1:33" x14ac:dyDescent="0.25">
      <c r="A144" s="22">
        <v>142</v>
      </c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</row>
    <row r="145" spans="1:33" x14ac:dyDescent="0.25">
      <c r="A145" s="22">
        <v>143</v>
      </c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</row>
    <row r="146" spans="1:33" x14ac:dyDescent="0.25">
      <c r="A146" s="22">
        <v>144</v>
      </c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</row>
    <row r="147" spans="1:33" x14ac:dyDescent="0.25">
      <c r="A147" s="22">
        <v>145</v>
      </c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</row>
    <row r="148" spans="1:33" x14ac:dyDescent="0.25">
      <c r="A148" s="22">
        <v>146</v>
      </c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</row>
    <row r="149" spans="1:33" x14ac:dyDescent="0.25">
      <c r="A149" s="22">
        <v>147</v>
      </c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</row>
    <row r="150" spans="1:33" x14ac:dyDescent="0.25">
      <c r="A150" s="22">
        <v>148</v>
      </c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</row>
    <row r="151" spans="1:33" x14ac:dyDescent="0.25">
      <c r="A151" s="22">
        <v>149</v>
      </c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</row>
    <row r="152" spans="1:33" x14ac:dyDescent="0.25">
      <c r="A152" s="22">
        <v>150</v>
      </c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</row>
    <row r="153" spans="1:33" x14ac:dyDescent="0.25">
      <c r="A153" s="22">
        <v>151</v>
      </c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</row>
    <row r="154" spans="1:33" x14ac:dyDescent="0.25">
      <c r="A154" s="22">
        <v>152</v>
      </c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</row>
    <row r="155" spans="1:33" x14ac:dyDescent="0.25">
      <c r="A155" s="22">
        <v>153</v>
      </c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</row>
    <row r="156" spans="1:33" x14ac:dyDescent="0.25">
      <c r="A156" s="22">
        <v>154</v>
      </c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</row>
    <row r="157" spans="1:33" x14ac:dyDescent="0.25">
      <c r="A157" s="22">
        <v>155</v>
      </c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</row>
    <row r="158" spans="1:33" x14ac:dyDescent="0.25">
      <c r="A158" s="22">
        <v>156</v>
      </c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</row>
    <row r="159" spans="1:33" x14ac:dyDescent="0.25">
      <c r="A159" s="22">
        <v>157</v>
      </c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</row>
    <row r="160" spans="1:33" x14ac:dyDescent="0.25">
      <c r="A160" s="22">
        <v>158</v>
      </c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</row>
    <row r="161" spans="1:33" x14ac:dyDescent="0.25">
      <c r="A161" s="22">
        <v>159</v>
      </c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</row>
    <row r="162" spans="1:33" x14ac:dyDescent="0.25">
      <c r="A162" s="22">
        <v>160</v>
      </c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</row>
    <row r="163" spans="1:33" x14ac:dyDescent="0.25">
      <c r="A163" s="22">
        <v>161</v>
      </c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</row>
    <row r="164" spans="1:33" x14ac:dyDescent="0.25">
      <c r="A164" s="22">
        <v>162</v>
      </c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</row>
    <row r="165" spans="1:33" x14ac:dyDescent="0.25">
      <c r="A165" s="22">
        <v>163</v>
      </c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</row>
    <row r="166" spans="1:33" x14ac:dyDescent="0.25">
      <c r="A166" s="22">
        <v>164</v>
      </c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</row>
    <row r="167" spans="1:33" x14ac:dyDescent="0.25">
      <c r="A167" s="22">
        <v>165</v>
      </c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</row>
    <row r="168" spans="1:33" x14ac:dyDescent="0.25">
      <c r="A168" s="22">
        <v>166</v>
      </c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 spans="1:33" x14ac:dyDescent="0.25">
      <c r="A169" s="22">
        <v>167</v>
      </c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 spans="1:33" x14ac:dyDescent="0.25">
      <c r="A170" s="22">
        <v>168</v>
      </c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 spans="1:33" x14ac:dyDescent="0.25">
      <c r="A171" s="22">
        <v>169</v>
      </c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 spans="1:33" x14ac:dyDescent="0.25">
      <c r="A172" s="22">
        <v>170</v>
      </c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 spans="1:33" x14ac:dyDescent="0.25">
      <c r="A173" s="22">
        <v>171</v>
      </c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 spans="1:33" x14ac:dyDescent="0.25">
      <c r="A174" s="22">
        <v>172</v>
      </c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 spans="1:33" x14ac:dyDescent="0.25">
      <c r="A175" s="22">
        <v>173</v>
      </c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 spans="1:33" x14ac:dyDescent="0.25">
      <c r="A176" s="22">
        <v>174</v>
      </c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 spans="1:33" x14ac:dyDescent="0.25">
      <c r="A177" s="22">
        <v>175</v>
      </c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 spans="1:33" x14ac:dyDescent="0.25">
      <c r="A178" s="22">
        <v>176</v>
      </c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 spans="1:33" x14ac:dyDescent="0.25">
      <c r="A179" s="22">
        <v>177</v>
      </c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 spans="1:33" x14ac:dyDescent="0.25">
      <c r="A180" s="22">
        <v>178</v>
      </c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 spans="1:33" x14ac:dyDescent="0.25">
      <c r="A181" s="22">
        <v>179</v>
      </c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 spans="1:33" x14ac:dyDescent="0.25">
      <c r="A182" s="22">
        <v>180</v>
      </c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 spans="1:33" x14ac:dyDescent="0.25">
      <c r="A183" s="22">
        <v>181</v>
      </c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 spans="1:33" x14ac:dyDescent="0.25">
      <c r="A184" s="22">
        <v>182</v>
      </c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 spans="1:33" x14ac:dyDescent="0.25">
      <c r="A185" s="22">
        <v>183</v>
      </c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 spans="1:33" x14ac:dyDescent="0.25">
      <c r="A186" s="22">
        <v>184</v>
      </c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 spans="1:33" x14ac:dyDescent="0.25">
      <c r="A187" s="22">
        <v>185</v>
      </c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 spans="1:33" x14ac:dyDescent="0.25">
      <c r="A188" s="22">
        <v>186</v>
      </c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 spans="1:33" x14ac:dyDescent="0.25">
      <c r="A189" s="22">
        <v>187</v>
      </c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 spans="1:33" x14ac:dyDescent="0.25">
      <c r="A190" s="22">
        <v>188</v>
      </c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 spans="1:33" x14ac:dyDescent="0.25">
      <c r="A191" s="22">
        <v>189</v>
      </c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 spans="1:33" x14ac:dyDescent="0.25">
      <c r="A192" s="22">
        <v>190</v>
      </c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 spans="1:33" x14ac:dyDescent="0.25">
      <c r="A193" s="22">
        <v>191</v>
      </c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 spans="1:33" x14ac:dyDescent="0.25">
      <c r="A194" s="22">
        <v>192</v>
      </c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</row>
    <row r="195" spans="1:33" x14ac:dyDescent="0.25">
      <c r="A195" s="22">
        <v>193</v>
      </c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</row>
    <row r="196" spans="1:33" x14ac:dyDescent="0.25">
      <c r="A196" s="22">
        <v>194</v>
      </c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</row>
    <row r="197" spans="1:33" x14ac:dyDescent="0.25">
      <c r="A197" s="22">
        <v>195</v>
      </c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</row>
    <row r="198" spans="1:33" x14ac:dyDescent="0.25">
      <c r="A198" s="22">
        <v>196</v>
      </c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 spans="1:33" x14ac:dyDescent="0.25">
      <c r="A199" s="22">
        <v>197</v>
      </c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 spans="1:33" x14ac:dyDescent="0.25">
      <c r="A200" s="22">
        <v>198</v>
      </c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 spans="1:33" x14ac:dyDescent="0.25">
      <c r="A201" s="22">
        <v>199</v>
      </c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 spans="1:33" x14ac:dyDescent="0.25">
      <c r="A202" s="22">
        <v>200</v>
      </c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 spans="1:33" x14ac:dyDescent="0.25">
      <c r="A203" s="22">
        <v>201</v>
      </c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 spans="1:33" x14ac:dyDescent="0.25">
      <c r="A204" s="22">
        <v>202</v>
      </c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 spans="1:33" x14ac:dyDescent="0.25">
      <c r="A205" s="22">
        <v>203</v>
      </c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 spans="1:33" x14ac:dyDescent="0.25">
      <c r="A206" s="22">
        <v>204</v>
      </c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 spans="1:33" x14ac:dyDescent="0.25">
      <c r="A207" s="22">
        <v>205</v>
      </c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 spans="1:33" x14ac:dyDescent="0.25">
      <c r="A208" s="22">
        <v>206</v>
      </c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 spans="1:33" x14ac:dyDescent="0.25">
      <c r="A209" s="22">
        <v>207</v>
      </c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 spans="1:33" x14ac:dyDescent="0.25">
      <c r="A210" s="22">
        <v>208</v>
      </c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 spans="1:33" x14ac:dyDescent="0.25">
      <c r="A211" s="22">
        <v>209</v>
      </c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 spans="1:33" x14ac:dyDescent="0.25">
      <c r="A212" s="22">
        <v>210</v>
      </c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 spans="1:33" x14ac:dyDescent="0.25">
      <c r="A213" s="22">
        <v>211</v>
      </c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 spans="1:33" x14ac:dyDescent="0.25">
      <c r="A214" s="22">
        <v>212</v>
      </c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 spans="1:33" x14ac:dyDescent="0.25">
      <c r="A215" s="22">
        <v>213</v>
      </c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 spans="1:33" x14ac:dyDescent="0.25">
      <c r="A216" s="22">
        <v>214</v>
      </c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</row>
    <row r="217" spans="1:33" x14ac:dyDescent="0.25">
      <c r="A217" s="22">
        <v>215</v>
      </c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 spans="1:33" x14ac:dyDescent="0.25">
      <c r="A218" s="22">
        <v>216</v>
      </c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 spans="1:33" x14ac:dyDescent="0.25">
      <c r="A219" s="22">
        <v>217</v>
      </c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 spans="1:33" x14ac:dyDescent="0.25">
      <c r="A220" s="22">
        <v>218</v>
      </c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 spans="1:33" x14ac:dyDescent="0.25">
      <c r="A221" s="22">
        <v>219</v>
      </c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 spans="1:33" x14ac:dyDescent="0.25">
      <c r="A222" s="22">
        <v>220</v>
      </c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 spans="1:33" x14ac:dyDescent="0.25">
      <c r="A223" s="22">
        <v>221</v>
      </c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 spans="1:33" x14ac:dyDescent="0.25">
      <c r="A224" s="22">
        <v>222</v>
      </c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 spans="1:33" x14ac:dyDescent="0.25">
      <c r="A225" s="22">
        <v>223</v>
      </c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 spans="1:33" x14ac:dyDescent="0.25">
      <c r="A226" s="22">
        <v>224</v>
      </c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 spans="1:33" x14ac:dyDescent="0.25">
      <c r="A227" s="22">
        <v>225</v>
      </c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 spans="1:33" x14ac:dyDescent="0.25">
      <c r="A228" s="22">
        <v>226</v>
      </c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 spans="1:33" x14ac:dyDescent="0.25">
      <c r="A229" s="22">
        <v>227</v>
      </c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 spans="1:33" x14ac:dyDescent="0.25">
      <c r="A230" s="22">
        <v>228</v>
      </c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 spans="1:33" x14ac:dyDescent="0.25">
      <c r="A231" s="22">
        <v>229</v>
      </c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 spans="1:33" x14ac:dyDescent="0.25">
      <c r="A232" s="22">
        <v>230</v>
      </c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 spans="1:33" x14ac:dyDescent="0.25">
      <c r="A233" s="22">
        <v>231</v>
      </c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 spans="1:33" x14ac:dyDescent="0.25">
      <c r="A234" s="22">
        <v>232</v>
      </c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 spans="1:33" x14ac:dyDescent="0.25">
      <c r="A235" s="22">
        <v>233</v>
      </c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 spans="1:33" x14ac:dyDescent="0.25">
      <c r="A236" s="22">
        <v>234</v>
      </c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 spans="1:33" x14ac:dyDescent="0.25">
      <c r="A237" s="22">
        <v>235</v>
      </c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 spans="1:33" x14ac:dyDescent="0.25">
      <c r="A238" s="22">
        <v>236</v>
      </c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 spans="1:33" x14ac:dyDescent="0.25">
      <c r="A239" s="22">
        <v>237</v>
      </c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 spans="1:33" x14ac:dyDescent="0.25">
      <c r="A240" s="22">
        <v>238</v>
      </c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 spans="1:33" x14ac:dyDescent="0.25">
      <c r="A241" s="22">
        <v>239</v>
      </c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 spans="1:33" x14ac:dyDescent="0.25">
      <c r="A242" s="22">
        <v>240</v>
      </c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 spans="1:33" x14ac:dyDescent="0.25">
      <c r="A243" s="22">
        <v>241</v>
      </c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 spans="1:33" x14ac:dyDescent="0.25">
      <c r="A244" s="22">
        <v>242</v>
      </c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 spans="1:33" x14ac:dyDescent="0.25">
      <c r="A245" s="22">
        <v>243</v>
      </c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 spans="1:33" x14ac:dyDescent="0.25">
      <c r="A246" s="22">
        <v>244</v>
      </c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 spans="1:33" x14ac:dyDescent="0.25">
      <c r="A247" s="22">
        <v>245</v>
      </c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 spans="1:33" x14ac:dyDescent="0.25">
      <c r="A248" s="22">
        <v>246</v>
      </c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 spans="1:33" x14ac:dyDescent="0.25">
      <c r="A249" s="22">
        <v>247</v>
      </c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 spans="1:33" x14ac:dyDescent="0.25">
      <c r="A250" s="22">
        <v>248</v>
      </c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 spans="1:33" x14ac:dyDescent="0.25">
      <c r="A251" s="22">
        <v>249</v>
      </c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 spans="1:33" x14ac:dyDescent="0.25">
      <c r="A252" s="22">
        <v>250</v>
      </c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 spans="1:33" x14ac:dyDescent="0.25">
      <c r="A253" s="22">
        <v>251</v>
      </c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 spans="1:33" x14ac:dyDescent="0.25">
      <c r="A254" s="22">
        <v>252</v>
      </c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 spans="1:33" x14ac:dyDescent="0.25">
      <c r="A255" s="22">
        <v>253</v>
      </c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 spans="1:33" x14ac:dyDescent="0.25">
      <c r="A256" s="22">
        <v>254</v>
      </c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 spans="1:33" x14ac:dyDescent="0.25">
      <c r="A257" s="22">
        <v>255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 spans="1:33" x14ac:dyDescent="0.25">
      <c r="A258" s="22">
        <v>256</v>
      </c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</row>
    <row r="259" spans="1:33" x14ac:dyDescent="0.25">
      <c r="A259" s="22">
        <v>257</v>
      </c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 spans="1:33" x14ac:dyDescent="0.25">
      <c r="A260" s="22">
        <v>258</v>
      </c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 spans="1:33" x14ac:dyDescent="0.25">
      <c r="A261" s="22">
        <v>259</v>
      </c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 spans="1:33" x14ac:dyDescent="0.25">
      <c r="A262" s="22">
        <v>260</v>
      </c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 spans="1:33" x14ac:dyDescent="0.25">
      <c r="A263" s="22">
        <v>261</v>
      </c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 spans="1:33" x14ac:dyDescent="0.25">
      <c r="A264" s="22">
        <v>262</v>
      </c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 spans="1:33" x14ac:dyDescent="0.25">
      <c r="A265" s="22">
        <v>263</v>
      </c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 spans="1:33" x14ac:dyDescent="0.25">
      <c r="A266" s="22">
        <v>264</v>
      </c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 spans="1:33" x14ac:dyDescent="0.25">
      <c r="A267" s="22">
        <v>265</v>
      </c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 spans="1:33" x14ac:dyDescent="0.25">
      <c r="A268" s="22">
        <v>266</v>
      </c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 spans="1:33" x14ac:dyDescent="0.25">
      <c r="A269" s="22">
        <v>267</v>
      </c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 spans="1:33" x14ac:dyDescent="0.25">
      <c r="A270" s="22">
        <v>268</v>
      </c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 spans="1:33" x14ac:dyDescent="0.25">
      <c r="A271" s="22">
        <v>269</v>
      </c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 spans="1:33" x14ac:dyDescent="0.25">
      <c r="A272" s="22">
        <v>270</v>
      </c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 spans="1:33" x14ac:dyDescent="0.25">
      <c r="A273" s="22">
        <v>271</v>
      </c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 spans="1:33" x14ac:dyDescent="0.25">
      <c r="A274" s="22">
        <v>272</v>
      </c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 spans="1:33" x14ac:dyDescent="0.25">
      <c r="A275" s="22">
        <v>273</v>
      </c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 spans="1:33" x14ac:dyDescent="0.25">
      <c r="A276" s="22">
        <v>274</v>
      </c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 spans="1:33" x14ac:dyDescent="0.25">
      <c r="A277" s="22">
        <v>275</v>
      </c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 spans="1:33" x14ac:dyDescent="0.25">
      <c r="A278" s="22">
        <v>276</v>
      </c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 spans="1:33" x14ac:dyDescent="0.25">
      <c r="A279" s="22">
        <v>277</v>
      </c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 spans="1:33" x14ac:dyDescent="0.25">
      <c r="A280" s="22">
        <v>278</v>
      </c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 spans="1:33" x14ac:dyDescent="0.25">
      <c r="A281" s="22">
        <v>279</v>
      </c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 spans="1:33" x14ac:dyDescent="0.25">
      <c r="A282" s="22">
        <v>280</v>
      </c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 spans="1:33" x14ac:dyDescent="0.25">
      <c r="A283" s="22">
        <v>281</v>
      </c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 spans="1:33" x14ac:dyDescent="0.25">
      <c r="A284" s="22">
        <v>282</v>
      </c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 spans="1:33" x14ac:dyDescent="0.25">
      <c r="A285" s="22">
        <v>283</v>
      </c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 spans="1:33" x14ac:dyDescent="0.25">
      <c r="A286" s="22">
        <v>284</v>
      </c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 spans="1:33" x14ac:dyDescent="0.25">
      <c r="A287" s="22">
        <v>285</v>
      </c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 spans="1:33" x14ac:dyDescent="0.25">
      <c r="A288" s="22">
        <v>286</v>
      </c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 spans="1:33" x14ac:dyDescent="0.25">
      <c r="A289" s="22">
        <v>287</v>
      </c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 spans="1:33" x14ac:dyDescent="0.25">
      <c r="A290" s="22">
        <v>288</v>
      </c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 spans="1:33" x14ac:dyDescent="0.25">
      <c r="A291" s="22">
        <v>289</v>
      </c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 spans="1:33" x14ac:dyDescent="0.25">
      <c r="A292" s="22">
        <v>290</v>
      </c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 spans="1:33" x14ac:dyDescent="0.25">
      <c r="A293" s="22">
        <v>291</v>
      </c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 spans="1:33" x14ac:dyDescent="0.25">
      <c r="A294" s="22">
        <v>292</v>
      </c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 spans="1:33" x14ac:dyDescent="0.25">
      <c r="A295" s="22">
        <v>293</v>
      </c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 spans="1:33" x14ac:dyDescent="0.25">
      <c r="A296" s="22">
        <v>294</v>
      </c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 spans="1:33" x14ac:dyDescent="0.25">
      <c r="A297" s="22">
        <v>295</v>
      </c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 spans="1:33" x14ac:dyDescent="0.25">
      <c r="A298" s="22">
        <v>296</v>
      </c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</row>
    <row r="299" spans="1:33" x14ac:dyDescent="0.25">
      <c r="A299" s="22">
        <v>297</v>
      </c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 spans="1:33" x14ac:dyDescent="0.25">
      <c r="A300" s="22">
        <v>298</v>
      </c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 spans="1:33" x14ac:dyDescent="0.25">
      <c r="A301" s="22">
        <v>299</v>
      </c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 spans="1:33" x14ac:dyDescent="0.25">
      <c r="A302" s="22">
        <v>300</v>
      </c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</sheetData>
  <mergeCells count="6">
    <mergeCell ref="R1:V1"/>
    <mergeCell ref="AB1:AF1"/>
    <mergeCell ref="C1:G1"/>
    <mergeCell ref="H1:L1"/>
    <mergeCell ref="W1:AA1"/>
    <mergeCell ref="M1:Q1"/>
  </mergeCells>
  <conditionalFormatting sqref="A3:AI302">
    <cfRule type="expression" dxfId="0" priority="1">
      <formula>LEFT($B3,7)="Ejemplo"</formula>
    </cfRule>
  </conditionalFormatting>
  <dataValidations count="2">
    <dataValidation type="whole" allowBlank="1" showInputMessage="1" showErrorMessage="1" errorTitle="Valor no válido" error="Escribí un número del 1 al 4: 1 Nada, 2 Algo, 3 Mucho, 4 Completamente." prompt="1 Nada · 2 Algo · 3 Mucho · 4 Completamente" sqref="C3:AF302" xr:uid="{00000000-0002-0000-0200-000000000000}">
      <formula1>1</formula1>
      <formula2>4</formula2>
    </dataValidation>
    <dataValidation type="whole" allowBlank="1" showInputMessage="1" showErrorMessage="1" errorTitle="Valor no válido" error="Escribí un número entero del 0 al 10." prompt="Del 0 al 10" sqref="AG3:AG302" xr:uid="{00000000-0002-0000-0200-000001000000}">
      <formula1>0</formula1>
      <formula2>10</formula2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60"/>
  <sheetViews>
    <sheetView showGridLines="0" workbookViewId="0"/>
  </sheetViews>
  <sheetFormatPr baseColWidth="10" defaultColWidth="9.140625" defaultRowHeight="15" x14ac:dyDescent="0.25"/>
  <cols>
    <col min="1" max="1" width="6" customWidth="1"/>
    <col min="2" max="2" width="66" customWidth="1"/>
    <col min="3" max="3" width="15" customWidth="1"/>
    <col min="4" max="4" width="13" customWidth="1"/>
  </cols>
  <sheetData>
    <row r="1" spans="1:4" ht="27.95" customHeight="1" x14ac:dyDescent="0.35">
      <c r="A1" s="1" t="s">
        <v>141</v>
      </c>
    </row>
    <row r="2" spans="1:4" ht="18.95" customHeight="1" x14ac:dyDescent="0.25">
      <c r="A2" s="48" t="s">
        <v>142</v>
      </c>
      <c r="B2" s="40"/>
      <c r="C2" s="40"/>
      <c r="D2" s="40"/>
    </row>
    <row r="4" spans="1:4" ht="21.95" customHeight="1" x14ac:dyDescent="0.3">
      <c r="A4" s="3" t="s">
        <v>143</v>
      </c>
    </row>
    <row r="5" spans="1:4" x14ac:dyDescent="0.25">
      <c r="B5" s="12" t="s">
        <v>144</v>
      </c>
      <c r="C5" s="24">
        <v>25</v>
      </c>
    </row>
    <row r="6" spans="1:4" x14ac:dyDescent="0.25">
      <c r="B6" s="12" t="s">
        <v>145</v>
      </c>
      <c r="C6" s="25">
        <f>SUMPRODUCT(--(MMULT(--(Respuestas!$C$3:$AG$302&lt;&gt;""),ROW($A$1:$A$31)^0)&gt;0))</f>
        <v>20</v>
      </c>
    </row>
    <row r="7" spans="1:4" ht="17.25" x14ac:dyDescent="0.3">
      <c r="B7" s="5" t="s">
        <v>143</v>
      </c>
      <c r="C7" s="26">
        <f>IFERROR(C6/C5,"")</f>
        <v>0.8</v>
      </c>
    </row>
    <row r="9" spans="1:4" ht="21.95" customHeight="1" x14ac:dyDescent="0.3">
      <c r="A9" s="3" t="s">
        <v>146</v>
      </c>
    </row>
    <row r="10" spans="1:4" ht="17.25" x14ac:dyDescent="0.3">
      <c r="B10" s="5" t="s">
        <v>147</v>
      </c>
      <c r="C10" s="26">
        <f>IFERROR(COUNTIF(Respuestas!$C$3:$AF$302,"&gt;=3")/COUNT(Respuestas!$C$3:$AF$302),"")</f>
        <v>0.68</v>
      </c>
    </row>
    <row r="11" spans="1:4" x14ac:dyDescent="0.25">
      <c r="B11" s="11" t="s">
        <v>148</v>
      </c>
    </row>
    <row r="13" spans="1:4" ht="21.95" customHeight="1" x14ac:dyDescent="0.3">
      <c r="A13" s="3" t="s">
        <v>126</v>
      </c>
    </row>
    <row r="14" spans="1:4" x14ac:dyDescent="0.25">
      <c r="B14" s="12" t="s">
        <v>149</v>
      </c>
      <c r="C14" s="27">
        <f>IFERROR(COUNTIF(Respuestas!$AG$3:$AG$302,"&gt;=9")/COUNT(Respuestas!$AG$3:$AG$302),"")</f>
        <v>0.2</v>
      </c>
    </row>
    <row r="15" spans="1:4" x14ac:dyDescent="0.25">
      <c r="B15" s="12" t="s">
        <v>150</v>
      </c>
      <c r="C15" s="27">
        <f>IFERROR(COUNTIFS(Respuestas!$AG$3:$AG$302,"&gt;=7",Respuestas!$AG$3:$AG$302,"&lt;=8")/COUNT(Respuestas!$AG$3:$AG$302),"")</f>
        <v>0.3</v>
      </c>
    </row>
    <row r="16" spans="1:4" x14ac:dyDescent="0.25">
      <c r="B16" s="12" t="s">
        <v>151</v>
      </c>
      <c r="C16" s="27">
        <f>IFERROR(COUNTIF(Respuestas!$AG$3:$AG$302,"&lt;=6")/COUNT(Respuestas!$AG$3:$AG$302),"")</f>
        <v>0.5</v>
      </c>
    </row>
    <row r="17" spans="1:4" ht="17.25" x14ac:dyDescent="0.3">
      <c r="B17" s="5" t="s">
        <v>152</v>
      </c>
      <c r="C17" s="28">
        <f>IFERROR(ROUND((C14-C16)*100,0),"")</f>
        <v>-30</v>
      </c>
    </row>
    <row r="18" spans="1:4" x14ac:dyDescent="0.25">
      <c r="B18" s="11" t="s">
        <v>153</v>
      </c>
    </row>
    <row r="20" spans="1:4" ht="21.95" customHeight="1" x14ac:dyDescent="0.3">
      <c r="A20" s="3" t="s">
        <v>154</v>
      </c>
    </row>
    <row r="21" spans="1:4" ht="21.95" customHeight="1" x14ac:dyDescent="0.25">
      <c r="A21" s="29"/>
      <c r="B21" s="30" t="s">
        <v>155</v>
      </c>
      <c r="C21" s="29" t="s">
        <v>156</v>
      </c>
      <c r="D21" s="29" t="s">
        <v>157</v>
      </c>
    </row>
    <row r="22" spans="1:4" x14ac:dyDescent="0.25">
      <c r="A22" s="31">
        <v>1</v>
      </c>
      <c r="B22" s="32" t="s">
        <v>51</v>
      </c>
      <c r="C22" s="33">
        <f>IFERROR(COUNTIF(Respuestas!$C$3:$G$302,"&gt;=3")/COUNT(Respuestas!$C$3:$G$302),"")</f>
        <v>0.71</v>
      </c>
      <c r="D22" s="34">
        <f>COUNT(Respuestas!$C$3:$G$302)</f>
        <v>100</v>
      </c>
    </row>
    <row r="23" spans="1:4" x14ac:dyDescent="0.25">
      <c r="A23" s="31">
        <v>2</v>
      </c>
      <c r="B23" s="32" t="s">
        <v>57</v>
      </c>
      <c r="C23" s="33">
        <f>IFERROR(COUNTIF(Respuestas!$H$3:$L$302,"&gt;=3")/COUNT(Respuestas!$H$3:$L$302),"")</f>
        <v>0.56999999999999995</v>
      </c>
      <c r="D23" s="34">
        <f>COUNT(Respuestas!$H$3:$L$302)</f>
        <v>100</v>
      </c>
    </row>
    <row r="24" spans="1:4" x14ac:dyDescent="0.25">
      <c r="A24" s="31">
        <v>3</v>
      </c>
      <c r="B24" s="32" t="s">
        <v>63</v>
      </c>
      <c r="C24" s="33">
        <f>IFERROR(COUNTIF(Respuestas!$M$3:$Q$302,"&gt;=3")/COUNT(Respuestas!$M$3:$Q$302),"")</f>
        <v>0.83</v>
      </c>
      <c r="D24" s="34">
        <f>COUNT(Respuestas!$M$3:$Q$302)</f>
        <v>100</v>
      </c>
    </row>
    <row r="25" spans="1:4" x14ac:dyDescent="0.25">
      <c r="A25" s="31">
        <v>4</v>
      </c>
      <c r="B25" s="32" t="s">
        <v>69</v>
      </c>
      <c r="C25" s="33">
        <f>IFERROR(COUNTIF(Respuestas!$R$3:$V$302,"&gt;=3")/COUNT(Respuestas!$R$3:$V$302),"")</f>
        <v>0.68</v>
      </c>
      <c r="D25" s="34">
        <f>COUNT(Respuestas!$R$3:$V$302)</f>
        <v>100</v>
      </c>
    </row>
    <row r="26" spans="1:4" x14ac:dyDescent="0.25">
      <c r="A26" s="31">
        <v>5</v>
      </c>
      <c r="B26" s="32" t="s">
        <v>75</v>
      </c>
      <c r="C26" s="33">
        <f>IFERROR(COUNTIF(Respuestas!$W$3:$AA$302,"&gt;=3")/COUNT(Respuestas!$W$3:$AA$302),"")</f>
        <v>0.52</v>
      </c>
      <c r="D26" s="34">
        <f>COUNT(Respuestas!$W$3:$AA$302)</f>
        <v>100</v>
      </c>
    </row>
    <row r="27" spans="1:4" x14ac:dyDescent="0.25">
      <c r="A27" s="31">
        <v>6</v>
      </c>
      <c r="B27" s="32" t="s">
        <v>81</v>
      </c>
      <c r="C27" s="33">
        <f>IFERROR(COUNTIF(Respuestas!$AB$3:$AF$302,"&gt;=3")/COUNT(Respuestas!$AB$3:$AF$302),"")</f>
        <v>0.77</v>
      </c>
      <c r="D27" s="34">
        <f>COUNT(Respuestas!$AB$3:$AF$302)</f>
        <v>100</v>
      </c>
    </row>
    <row r="29" spans="1:4" ht="21.95" customHeight="1" x14ac:dyDescent="0.3">
      <c r="A29" s="3" t="s">
        <v>158</v>
      </c>
    </row>
    <row r="30" spans="1:4" ht="21.95" customHeight="1" x14ac:dyDescent="0.25">
      <c r="A30" s="29"/>
      <c r="B30" s="30" t="s">
        <v>46</v>
      </c>
      <c r="C30" s="29" t="s">
        <v>156</v>
      </c>
      <c r="D30" s="29" t="s">
        <v>157</v>
      </c>
    </row>
    <row r="31" spans="1:4" ht="20.100000000000001" customHeight="1" x14ac:dyDescent="0.25">
      <c r="A31" s="35" t="s">
        <v>96</v>
      </c>
      <c r="B31" s="36" t="s">
        <v>52</v>
      </c>
      <c r="C31" s="37">
        <f>IFERROR(COUNTIF(Respuestas!$C$3:$C$302,"&gt;=3")/COUNT(Respuestas!$C$3:$C$302),"")</f>
        <v>0.7</v>
      </c>
      <c r="D31" s="38">
        <f>COUNT(Respuestas!$C$3:$C$302)</f>
        <v>20</v>
      </c>
    </row>
    <row r="32" spans="1:4" ht="20.100000000000001" customHeight="1" x14ac:dyDescent="0.25">
      <c r="A32" s="35" t="s">
        <v>97</v>
      </c>
      <c r="B32" s="36" t="s">
        <v>53</v>
      </c>
      <c r="C32" s="37">
        <f>IFERROR(COUNTIF(Respuestas!$D$3:$D$302,"&gt;=3")/COUNT(Respuestas!$D$3:$D$302),"")</f>
        <v>0.75</v>
      </c>
      <c r="D32" s="38">
        <f>COUNT(Respuestas!$D$3:$D$302)</f>
        <v>20</v>
      </c>
    </row>
    <row r="33" spans="1:4" ht="20.100000000000001" customHeight="1" x14ac:dyDescent="0.25">
      <c r="A33" s="35" t="s">
        <v>98</v>
      </c>
      <c r="B33" s="36" t="s">
        <v>54</v>
      </c>
      <c r="C33" s="37">
        <f>IFERROR(COUNTIF(Respuestas!$E$3:$E$302,"&gt;=3")/COUNT(Respuestas!$E$3:$E$302),"")</f>
        <v>0.75</v>
      </c>
      <c r="D33" s="38">
        <f>COUNT(Respuestas!$E$3:$E$302)</f>
        <v>20</v>
      </c>
    </row>
    <row r="34" spans="1:4" ht="33.950000000000003" customHeight="1" x14ac:dyDescent="0.25">
      <c r="A34" s="35" t="s">
        <v>99</v>
      </c>
      <c r="B34" s="36" t="s">
        <v>55</v>
      </c>
      <c r="C34" s="37">
        <f>IFERROR(COUNTIF(Respuestas!$F$3:$F$302,"&gt;=3")/COUNT(Respuestas!$F$3:$F$302),"")</f>
        <v>0.7</v>
      </c>
      <c r="D34" s="38">
        <f>COUNT(Respuestas!$F$3:$F$302)</f>
        <v>20</v>
      </c>
    </row>
    <row r="35" spans="1:4" ht="20.100000000000001" customHeight="1" x14ac:dyDescent="0.25">
      <c r="A35" s="35" t="s">
        <v>100</v>
      </c>
      <c r="B35" s="36" t="s">
        <v>56</v>
      </c>
      <c r="C35" s="37">
        <f>IFERROR(COUNTIF(Respuestas!$G$3:$G$302,"&gt;=3")/COUNT(Respuestas!$G$3:$G$302),"")</f>
        <v>0.65</v>
      </c>
      <c r="D35" s="38">
        <f>COUNT(Respuestas!$G$3:$G$302)</f>
        <v>20</v>
      </c>
    </row>
    <row r="36" spans="1:4" ht="20.100000000000001" customHeight="1" x14ac:dyDescent="0.25">
      <c r="A36" s="35" t="s">
        <v>101</v>
      </c>
      <c r="B36" s="36" t="s">
        <v>58</v>
      </c>
      <c r="C36" s="37">
        <f>IFERROR(COUNTIF(Respuestas!$H$3:$H$302,"&gt;=3")/COUNT(Respuestas!$H$3:$H$302),"")</f>
        <v>0.6</v>
      </c>
      <c r="D36" s="38">
        <f>COUNT(Respuestas!$H$3:$H$302)</f>
        <v>20</v>
      </c>
    </row>
    <row r="37" spans="1:4" ht="20.100000000000001" customHeight="1" x14ac:dyDescent="0.25">
      <c r="A37" s="35" t="s">
        <v>102</v>
      </c>
      <c r="B37" s="36" t="s">
        <v>59</v>
      </c>
      <c r="C37" s="37">
        <f>IFERROR(COUNTIF(Respuestas!$I$3:$I$302,"&gt;=3")/COUNT(Respuestas!$I$3:$I$302),"")</f>
        <v>0.7</v>
      </c>
      <c r="D37" s="38">
        <f>COUNT(Respuestas!$I$3:$I$302)</f>
        <v>20</v>
      </c>
    </row>
    <row r="38" spans="1:4" ht="20.100000000000001" customHeight="1" x14ac:dyDescent="0.25">
      <c r="A38" s="35" t="s">
        <v>103</v>
      </c>
      <c r="B38" s="36" t="s">
        <v>60</v>
      </c>
      <c r="C38" s="37">
        <f>IFERROR(COUNTIF(Respuestas!$J$3:$J$302,"&gt;=3")/COUNT(Respuestas!$J$3:$J$302),"")</f>
        <v>0.5</v>
      </c>
      <c r="D38" s="38">
        <f>COUNT(Respuestas!$J$3:$J$302)</f>
        <v>20</v>
      </c>
    </row>
    <row r="39" spans="1:4" ht="20.100000000000001" customHeight="1" x14ac:dyDescent="0.25">
      <c r="A39" s="35" t="s">
        <v>104</v>
      </c>
      <c r="B39" s="36" t="s">
        <v>61</v>
      </c>
      <c r="C39" s="37">
        <f>IFERROR(COUNTIF(Respuestas!$K$3:$K$302,"&gt;=3")/COUNT(Respuestas!$K$3:$K$302),"")</f>
        <v>0.5</v>
      </c>
      <c r="D39" s="38">
        <f>COUNT(Respuestas!$K$3:$K$302)</f>
        <v>20</v>
      </c>
    </row>
    <row r="40" spans="1:4" ht="20.100000000000001" customHeight="1" x14ac:dyDescent="0.25">
      <c r="A40" s="35" t="s">
        <v>105</v>
      </c>
      <c r="B40" s="36" t="s">
        <v>62</v>
      </c>
      <c r="C40" s="37">
        <f>IFERROR(COUNTIF(Respuestas!$L$3:$L$302,"&gt;=3")/COUNT(Respuestas!$L$3:$L$302),"")</f>
        <v>0.55000000000000004</v>
      </c>
      <c r="D40" s="38">
        <f>COUNT(Respuestas!$L$3:$L$302)</f>
        <v>20</v>
      </c>
    </row>
    <row r="41" spans="1:4" ht="20.100000000000001" customHeight="1" x14ac:dyDescent="0.25">
      <c r="A41" s="35" t="s">
        <v>106</v>
      </c>
      <c r="B41" s="36" t="s">
        <v>64</v>
      </c>
      <c r="C41" s="37">
        <f>IFERROR(COUNTIF(Respuestas!$M$3:$M$302,"&gt;=3")/COUNT(Respuestas!$M$3:$M$302),"")</f>
        <v>0.85</v>
      </c>
      <c r="D41" s="38">
        <f>COUNT(Respuestas!$M$3:$M$302)</f>
        <v>20</v>
      </c>
    </row>
    <row r="42" spans="1:4" ht="20.100000000000001" customHeight="1" x14ac:dyDescent="0.25">
      <c r="A42" s="35" t="s">
        <v>107</v>
      </c>
      <c r="B42" s="36" t="s">
        <v>65</v>
      </c>
      <c r="C42" s="37">
        <f>IFERROR(COUNTIF(Respuestas!$N$3:$N$302,"&gt;=3")/COUNT(Respuestas!$N$3:$N$302),"")</f>
        <v>0.95</v>
      </c>
      <c r="D42" s="38">
        <f>COUNT(Respuestas!$N$3:$N$302)</f>
        <v>20</v>
      </c>
    </row>
    <row r="43" spans="1:4" ht="20.100000000000001" customHeight="1" x14ac:dyDescent="0.25">
      <c r="A43" s="35" t="s">
        <v>108</v>
      </c>
      <c r="B43" s="36" t="s">
        <v>66</v>
      </c>
      <c r="C43" s="37">
        <f>IFERROR(COUNTIF(Respuestas!$O$3:$O$302,"&gt;=3")/COUNT(Respuestas!$O$3:$O$302),"")</f>
        <v>0.75</v>
      </c>
      <c r="D43" s="38">
        <f>COUNT(Respuestas!$O$3:$O$302)</f>
        <v>20</v>
      </c>
    </row>
    <row r="44" spans="1:4" ht="33.950000000000003" customHeight="1" x14ac:dyDescent="0.25">
      <c r="A44" s="35" t="s">
        <v>109</v>
      </c>
      <c r="B44" s="36" t="s">
        <v>67</v>
      </c>
      <c r="C44" s="37">
        <f>IFERROR(COUNTIF(Respuestas!$P$3:$P$302,"&gt;=3")/COUNT(Respuestas!$P$3:$P$302),"")</f>
        <v>0.75</v>
      </c>
      <c r="D44" s="38">
        <f>COUNT(Respuestas!$P$3:$P$302)</f>
        <v>20</v>
      </c>
    </row>
    <row r="45" spans="1:4" ht="20.100000000000001" customHeight="1" x14ac:dyDescent="0.25">
      <c r="A45" s="35" t="s">
        <v>110</v>
      </c>
      <c r="B45" s="36" t="s">
        <v>68</v>
      </c>
      <c r="C45" s="37">
        <f>IFERROR(COUNTIF(Respuestas!$Q$3:$Q$302,"&gt;=3")/COUNT(Respuestas!$Q$3:$Q$302),"")</f>
        <v>0.85</v>
      </c>
      <c r="D45" s="38">
        <f>COUNT(Respuestas!$Q$3:$Q$302)</f>
        <v>20</v>
      </c>
    </row>
    <row r="46" spans="1:4" ht="33.950000000000003" customHeight="1" x14ac:dyDescent="0.25">
      <c r="A46" s="35" t="s">
        <v>111</v>
      </c>
      <c r="B46" s="36" t="s">
        <v>70</v>
      </c>
      <c r="C46" s="37">
        <f>IFERROR(COUNTIF(Respuestas!$R$3:$R$302,"&gt;=3")/COUNT(Respuestas!$R$3:$R$302),"")</f>
        <v>0.5</v>
      </c>
      <c r="D46" s="38">
        <f>COUNT(Respuestas!$R$3:$R$302)</f>
        <v>20</v>
      </c>
    </row>
    <row r="47" spans="1:4" ht="20.100000000000001" customHeight="1" x14ac:dyDescent="0.25">
      <c r="A47" s="35" t="s">
        <v>112</v>
      </c>
      <c r="B47" s="36" t="s">
        <v>71</v>
      </c>
      <c r="C47" s="37">
        <f>IFERROR(COUNTIF(Respuestas!$S$3:$S$302,"&gt;=3")/COUNT(Respuestas!$S$3:$S$302),"")</f>
        <v>0.65</v>
      </c>
      <c r="D47" s="38">
        <f>COUNT(Respuestas!$S$3:$S$302)</f>
        <v>20</v>
      </c>
    </row>
    <row r="48" spans="1:4" ht="20.100000000000001" customHeight="1" x14ac:dyDescent="0.25">
      <c r="A48" s="35" t="s">
        <v>113</v>
      </c>
      <c r="B48" s="36" t="s">
        <v>72</v>
      </c>
      <c r="C48" s="37">
        <f>IFERROR(COUNTIF(Respuestas!$T$3:$T$302,"&gt;=3")/COUNT(Respuestas!$T$3:$T$302),"")</f>
        <v>0.75</v>
      </c>
      <c r="D48" s="38">
        <f>COUNT(Respuestas!$T$3:$T$302)</f>
        <v>20</v>
      </c>
    </row>
    <row r="49" spans="1:4" ht="33.950000000000003" customHeight="1" x14ac:dyDescent="0.25">
      <c r="A49" s="35" t="s">
        <v>114</v>
      </c>
      <c r="B49" s="36" t="s">
        <v>73</v>
      </c>
      <c r="C49" s="37">
        <f>IFERROR(COUNTIF(Respuestas!$U$3:$U$302,"&gt;=3")/COUNT(Respuestas!$U$3:$U$302),"")</f>
        <v>0.75</v>
      </c>
      <c r="D49" s="38">
        <f>COUNT(Respuestas!$U$3:$U$302)</f>
        <v>20</v>
      </c>
    </row>
    <row r="50" spans="1:4" ht="20.100000000000001" customHeight="1" x14ac:dyDescent="0.25">
      <c r="A50" s="35" t="s">
        <v>115</v>
      </c>
      <c r="B50" s="36" t="s">
        <v>74</v>
      </c>
      <c r="C50" s="37">
        <f>IFERROR(COUNTIF(Respuestas!$V$3:$V$302,"&gt;=3")/COUNT(Respuestas!$V$3:$V$302),"")</f>
        <v>0.75</v>
      </c>
      <c r="D50" s="38">
        <f>COUNT(Respuestas!$V$3:$V$302)</f>
        <v>20</v>
      </c>
    </row>
    <row r="51" spans="1:4" ht="20.100000000000001" customHeight="1" x14ac:dyDescent="0.25">
      <c r="A51" s="35" t="s">
        <v>116</v>
      </c>
      <c r="B51" s="36" t="s">
        <v>76</v>
      </c>
      <c r="C51" s="37">
        <f>IFERROR(COUNTIF(Respuestas!$W$3:$W$302,"&gt;=3")/COUNT(Respuestas!$W$3:$W$302),"")</f>
        <v>0.6</v>
      </c>
      <c r="D51" s="38">
        <f>COUNT(Respuestas!$W$3:$W$302)</f>
        <v>20</v>
      </c>
    </row>
    <row r="52" spans="1:4" ht="20.100000000000001" customHeight="1" x14ac:dyDescent="0.25">
      <c r="A52" s="35" t="s">
        <v>117</v>
      </c>
      <c r="B52" s="36" t="s">
        <v>77</v>
      </c>
      <c r="C52" s="37">
        <f>IFERROR(COUNTIF(Respuestas!$X$3:$X$302,"&gt;=3")/COUNT(Respuestas!$X$3:$X$302),"")</f>
        <v>0.55000000000000004</v>
      </c>
      <c r="D52" s="38">
        <f>COUNT(Respuestas!$X$3:$X$302)</f>
        <v>20</v>
      </c>
    </row>
    <row r="53" spans="1:4" ht="20.100000000000001" customHeight="1" x14ac:dyDescent="0.25">
      <c r="A53" s="35" t="s">
        <v>118</v>
      </c>
      <c r="B53" s="36" t="s">
        <v>78</v>
      </c>
      <c r="C53" s="37">
        <f>IFERROR(COUNTIF(Respuestas!$Y$3:$Y$302,"&gt;=3")/COUNT(Respuestas!$Y$3:$Y$302),"")</f>
        <v>0.5</v>
      </c>
      <c r="D53" s="38">
        <f>COUNT(Respuestas!$Y$3:$Y$302)</f>
        <v>20</v>
      </c>
    </row>
    <row r="54" spans="1:4" ht="20.100000000000001" customHeight="1" x14ac:dyDescent="0.25">
      <c r="A54" s="35" t="s">
        <v>119</v>
      </c>
      <c r="B54" s="36" t="s">
        <v>79</v>
      </c>
      <c r="C54" s="37">
        <f>IFERROR(COUNTIF(Respuestas!$Z$3:$Z$302,"&gt;=3")/COUNT(Respuestas!$Z$3:$Z$302),"")</f>
        <v>0.35</v>
      </c>
      <c r="D54" s="38">
        <f>COUNT(Respuestas!$Z$3:$Z$302)</f>
        <v>20</v>
      </c>
    </row>
    <row r="55" spans="1:4" ht="20.100000000000001" customHeight="1" x14ac:dyDescent="0.25">
      <c r="A55" s="35" t="s">
        <v>120</v>
      </c>
      <c r="B55" s="36" t="s">
        <v>80</v>
      </c>
      <c r="C55" s="37">
        <f>IFERROR(COUNTIF(Respuestas!$AA$3:$AA$302,"&gt;=3")/COUNT(Respuestas!$AA$3:$AA$302),"")</f>
        <v>0.6</v>
      </c>
      <c r="D55" s="38">
        <f>COUNT(Respuestas!$AA$3:$AA$302)</f>
        <v>20</v>
      </c>
    </row>
    <row r="56" spans="1:4" ht="20.100000000000001" customHeight="1" x14ac:dyDescent="0.25">
      <c r="A56" s="35" t="s">
        <v>121</v>
      </c>
      <c r="B56" s="36" t="s">
        <v>82</v>
      </c>
      <c r="C56" s="37">
        <f>IFERROR(COUNTIF(Respuestas!$AB$3:$AB$302,"&gt;=3")/COUNT(Respuestas!$AB$3:$AB$302),"")</f>
        <v>0.9</v>
      </c>
      <c r="D56" s="38">
        <f>COUNT(Respuestas!$AB$3:$AB$302)</f>
        <v>20</v>
      </c>
    </row>
    <row r="57" spans="1:4" ht="20.100000000000001" customHeight="1" x14ac:dyDescent="0.25">
      <c r="A57" s="35" t="s">
        <v>122</v>
      </c>
      <c r="B57" s="36" t="s">
        <v>83</v>
      </c>
      <c r="C57" s="37">
        <f>IFERROR(COUNTIF(Respuestas!$AC$3:$AC$302,"&gt;=3")/COUNT(Respuestas!$AC$3:$AC$302),"")</f>
        <v>0.85</v>
      </c>
      <c r="D57" s="38">
        <f>COUNT(Respuestas!$AC$3:$AC$302)</f>
        <v>20</v>
      </c>
    </row>
    <row r="58" spans="1:4" ht="20.100000000000001" customHeight="1" x14ac:dyDescent="0.25">
      <c r="A58" s="35" t="s">
        <v>123</v>
      </c>
      <c r="B58" s="36" t="s">
        <v>84</v>
      </c>
      <c r="C58" s="37">
        <f>IFERROR(COUNTIF(Respuestas!$AD$3:$AD$302,"&gt;=3")/COUNT(Respuestas!$AD$3:$AD$302),"")</f>
        <v>0.75</v>
      </c>
      <c r="D58" s="38">
        <f>COUNT(Respuestas!$AD$3:$AD$302)</f>
        <v>20</v>
      </c>
    </row>
    <row r="59" spans="1:4" ht="20.100000000000001" customHeight="1" x14ac:dyDescent="0.25">
      <c r="A59" s="35" t="s">
        <v>124</v>
      </c>
      <c r="B59" s="36" t="s">
        <v>85</v>
      </c>
      <c r="C59" s="37">
        <f>IFERROR(COUNTIF(Respuestas!$AE$3:$AE$302,"&gt;=3")/COUNT(Respuestas!$AE$3:$AE$302),"")</f>
        <v>0.6</v>
      </c>
      <c r="D59" s="38">
        <f>COUNT(Respuestas!$AE$3:$AE$302)</f>
        <v>20</v>
      </c>
    </row>
    <row r="60" spans="1:4" ht="20.100000000000001" customHeight="1" x14ac:dyDescent="0.25">
      <c r="A60" s="35" t="s">
        <v>125</v>
      </c>
      <c r="B60" s="36" t="s">
        <v>86</v>
      </c>
      <c r="C60" s="37">
        <f>IFERROR(COUNTIF(Respuestas!$AF$3:$AF$302,"&gt;=3")/COUNT(Respuestas!$AF$3:$AF$302),"")</f>
        <v>0.75</v>
      </c>
      <c r="D60" s="38">
        <f>COUNT(Respuestas!$AF$3:$AF$302)</f>
        <v>20</v>
      </c>
    </row>
  </sheetData>
  <mergeCells count="1">
    <mergeCell ref="A2:D2"/>
  </mergeCells>
  <conditionalFormatting sqref="C22:C27">
    <cfRule type="dataBar" priority="1">
      <dataBar>
        <cfvo type="num" val="0"/>
        <cfvo type="num" val="1"/>
        <color rgb="FFA78BFA"/>
      </dataBar>
    </cfRule>
  </conditionalFormatting>
  <conditionalFormatting sqref="C31:C60">
    <cfRule type="dataBar" priority="2">
      <dataBar>
        <cfvo type="num" val="0"/>
        <cfvo type="num" val="1"/>
        <color rgb="FFA78BFA"/>
      </dataBar>
    </cfRule>
  </conditionalFormatting>
  <pageMargins left="0.75" right="0.75" top="1" bottom="1" header="0.5" footer="0.5"/>
  <pageSetup fitToHeight="0" orientation="portrait"/>
  <headerFooter>
    <oddFooter>&amp;Ccensuma.com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Cómo usarla</vt:lpstr>
      <vt:lpstr>Encuesta</vt:lpstr>
      <vt:lpstr>Respuestas</vt:lpstr>
      <vt:lpstr>Resultados</vt:lpstr>
      <vt:lpstr>Encuesta!Área_de_impresión</vt:lpstr>
      <vt:lpstr>Resultados!Área_de_impresión</vt:lpstr>
      <vt:lpstr>Encuesta!Títulos_a_imprimir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de encuesta de clima laboral</dc:title>
  <dc:subject>Plantilla de encuesta de clima laboral</dc:subject>
  <dc:creator>Censuma</dc:creator>
  <cp:keywords>censuma.com</cp:keywords>
  <cp:lastModifiedBy>Censuma</cp:lastModifiedBy>
  <dcterms:created xsi:type="dcterms:W3CDTF">2026-10-13T04:36:37Z</dcterms:created>
  <dcterms:modified xsi:type="dcterms:W3CDTF">2026-10-13T04:36:39Z</dcterms:modified>
</cp:coreProperties>
</file>